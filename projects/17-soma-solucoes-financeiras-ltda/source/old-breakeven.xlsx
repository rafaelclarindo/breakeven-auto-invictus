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ção 12 meses" sheetId="1" r:id="rId5"/>
    <sheet state="hidden" name=" Projeção 12 meses (Sem custo f" sheetId="2" r:id="rId6"/>
    <sheet state="hidden" name="Projeção 12 meses (CPL)" sheetId="3" r:id="rId7"/>
    <sheet state="visible" name="Projeção Break Even" sheetId="4" r:id="rId8"/>
    <sheet state="hidden" name=" Projeção 12 meses (TX de conve" sheetId="5" r:id="rId9"/>
    <sheet state="hidden" name="12 meses (LT aluno 12)" sheetId="6" r:id="rId10"/>
    <sheet state="hidden" name="Break Even  (LT aluno 12)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Defina o período em que você quer atingir o Break Even e multiplique pelo Fee</t>
      </text>
    </comment>
    <comment authorId="0" ref="C4">
      <text>
        <t xml:space="preserve">Defina o período que você quer atingir o Break Even e multiplique pela verba de mídia</t>
      </text>
    </comment>
  </commentList>
</comments>
</file>

<file path=xl/sharedStrings.xml><?xml version="1.0" encoding="utf-8"?>
<sst xmlns="http://schemas.openxmlformats.org/spreadsheetml/2006/main" count="337" uniqueCount="67">
  <si>
    <t>2024 Total</t>
  </si>
  <si>
    <t>12 meses</t>
  </si>
  <si>
    <t>Apanhado Geral</t>
  </si>
  <si>
    <t>Cenário Mínimo</t>
  </si>
  <si>
    <t>Janeiro</t>
  </si>
  <si>
    <t>Fev</t>
  </si>
  <si>
    <t>Maio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</si>
  <si>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</si>
  <si>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</si>
  <si>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</si>
  <si>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</si>
  <si>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</si>
  <si>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</si>
  <si>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</si>
  <si>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</si>
  <si>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</si>
  <si>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</si>
  <si>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</si>
  <si>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</si>
  <si>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Custo Fixo Interno</t>
  </si>
  <si>
    <t>Custos Fixos V4 + Mídia</t>
  </si>
  <si>
    <t>Fee Mensal</t>
  </si>
  <si>
    <t>Verba de mídia</t>
  </si>
  <si>
    <t>Leads por mês</t>
  </si>
  <si>
    <t>Custo por Lead</t>
  </si>
  <si>
    <t>Taxa de Conversão Lead -&gt; MQL</t>
  </si>
  <si>
    <t>MQLs por mês</t>
  </si>
  <si>
    <t>Custo por MQL</t>
  </si>
  <si>
    <t>Taxa de Conversão MQL -&gt; SQL</t>
  </si>
  <si>
    <t>SQLs por mês</t>
  </si>
  <si>
    <t>Custo por SQL</t>
  </si>
  <si>
    <t>Taxa de Conversão SQL -&gt; Venda</t>
  </si>
  <si>
    <t>Vendas por mês</t>
  </si>
  <si>
    <t>Custo por Venda</t>
  </si>
  <si>
    <t>Taxa de Conversão do Funil</t>
  </si>
  <si>
    <t>Ticket médio * LT</t>
  </si>
  <si>
    <t>Margem Contribuição</t>
  </si>
  <si>
    <t>Valor de Venda no mês</t>
  </si>
  <si>
    <t>Valor Acumulado</t>
  </si>
  <si>
    <t>Resultado ML/mês</t>
  </si>
  <si>
    <t>Resultado ML Acumulado</t>
  </si>
  <si>
    <t>Custo V4 + mídia + variável/mês</t>
  </si>
  <si>
    <t>Custo V4 + mídia + variável Acumulado</t>
  </si>
  <si>
    <t>Resultado líquido Acumulado</t>
  </si>
  <si>
    <t>Feito até o momento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</si>
  <si>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</si>
  <si>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</si>
  <si>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</si>
  <si>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</si>
  <si>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</si>
  <si>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</si>
  <si>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</si>
  <si>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</si>
  <si>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</si>
  <si>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</si>
  <si>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</si>
  <si>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</si>
  <si>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Ticket médio</t>
  </si>
  <si>
    <t>Margem Contribuição (MC)</t>
  </si>
  <si>
    <t>ROAS no mês</t>
  </si>
  <si>
    <t>Resultado MC/mês</t>
  </si>
  <si>
    <t>Resultado MC Acumulado</t>
  </si>
  <si>
    <t>Custo V4 + mídia/mês</t>
  </si>
  <si>
    <t>Custo V4 + mídia acumulado</t>
  </si>
  <si>
    <t>Resultado líquido Mês</t>
  </si>
  <si>
    <t>ROI no mês</t>
  </si>
  <si>
    <t>ROI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</si>
</sst>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sz val="11.0"/>
      <color rgb="FFF3F3F3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</fills>
  <borders count="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3" numFmtId="164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4" fontId="3" numFmtId="164" xfId="0" applyAlignment="1" applyFill="1" applyFont="1" applyNumberFormat="1">
      <alignment horizontal="center" vertical="center"/>
    </xf>
    <xf borderId="0" fillId="4" fontId="3" numFmtId="164" xfId="0" applyAlignment="1" applyFont="1" applyNumberFormat="1">
      <alignment horizontal="center" readingOrder="0" vertical="center"/>
    </xf>
    <xf borderId="0" fillId="3" fontId="3" numFmtId="1" xfId="0" applyAlignment="1" applyFont="1" applyNumberFormat="1">
      <alignment horizontal="center" readingOrder="0" vertical="center"/>
    </xf>
    <xf borderId="0" fillId="3" fontId="3" numFmtId="1" xfId="0" applyAlignment="1" applyFont="1" applyNumberFormat="1">
      <alignment horizontal="center" vertical="center"/>
    </xf>
    <xf borderId="0" fillId="4" fontId="3" numFmtId="10" xfId="0" applyAlignment="1" applyFont="1" applyNumberFormat="1">
      <alignment horizontal="center" vertical="center"/>
    </xf>
    <xf borderId="0" fillId="4" fontId="3" numFmtId="10" xfId="0" applyAlignment="1" applyFont="1" applyNumberFormat="1">
      <alignment horizontal="center" readingOrder="0" vertical="center"/>
    </xf>
    <xf borderId="0" fillId="3" fontId="3" numFmtId="3" xfId="0" applyAlignment="1" applyFont="1" applyNumberFormat="1">
      <alignment horizontal="center" vertical="center"/>
    </xf>
    <xf borderId="0" fillId="3" fontId="3" numFmtId="3" xfId="0" applyAlignment="1" applyFont="1" applyNumberFormat="1">
      <alignment horizontal="center" readingOrder="0" vertical="center"/>
    </xf>
    <xf borderId="0" fillId="4" fontId="3" numFmtId="9" xfId="0" applyAlignment="1" applyFont="1" applyNumberFormat="1">
      <alignment horizontal="center" vertical="center"/>
    </xf>
    <xf borderId="0" fillId="4" fontId="3" numFmtId="9" xfId="0" applyAlignment="1" applyFont="1" applyNumberFormat="1">
      <alignment horizontal="center" readingOrder="0" vertical="center"/>
    </xf>
    <xf borderId="0" fillId="4" fontId="3" numFmtId="3" xfId="0" applyAlignment="1" applyFont="1" applyNumberFormat="1">
      <alignment horizontal="center" vertical="center"/>
    </xf>
    <xf borderId="0" fillId="3" fontId="3" numFmtId="10" xfId="0" applyAlignment="1" applyFont="1" applyNumberFormat="1">
      <alignment horizontal="center" vertical="center"/>
    </xf>
    <xf borderId="0" fillId="3" fontId="3" numFmtId="10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5" fontId="3" numFmtId="164" xfId="0" applyAlignment="1" applyFill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0" fillId="5" fontId="3" numFmtId="164" xfId="0" applyAlignment="1" applyFont="1" applyNumberFormat="1">
      <alignment horizontal="center" readingOrder="0" shrinkToFit="0" vertical="center" wrapText="1"/>
    </xf>
    <xf borderId="0" fillId="5" fontId="3" numFmtId="164" xfId="0" applyAlignment="1" applyFont="1" applyNumberFormat="1">
      <alignment horizontal="center" readingOrder="0" vertical="center"/>
    </xf>
    <xf borderId="0" fillId="5" fontId="3" numFmtId="3" xfId="0" applyAlignment="1" applyFont="1" applyNumberFormat="1">
      <alignment horizontal="center" readingOrder="0" vertical="center"/>
    </xf>
    <xf borderId="0" fillId="6" fontId="2" numFmtId="0" xfId="0" applyAlignment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2" fillId="7" fontId="2" numFmtId="164" xfId="0" applyAlignment="1" applyBorder="1" applyFont="1" applyNumberFormat="1">
      <alignment horizontal="center" vertical="center"/>
    </xf>
    <xf borderId="2" fillId="6" fontId="2" numFmtId="164" xfId="0" applyAlignment="1" applyBorder="1" applyFont="1" applyNumberFormat="1">
      <alignment horizontal="center" vertical="center"/>
    </xf>
    <xf borderId="3" fillId="4" fontId="3" numFmtId="164" xfId="0" applyAlignment="1" applyBorder="1" applyFont="1" applyNumberFormat="1">
      <alignment horizontal="center" vertical="center"/>
    </xf>
    <xf borderId="0" fillId="6" fontId="3" numFmtId="164" xfId="0" applyAlignment="1" applyFont="1" applyNumberFormat="1">
      <alignment horizontal="center" vertical="center"/>
    </xf>
    <xf borderId="4" fillId="4" fontId="3" numFmtId="164" xfId="0" applyAlignment="1" applyBorder="1" applyFont="1" applyNumberFormat="1">
      <alignment horizontal="center" vertical="center"/>
    </xf>
    <xf borderId="5" fillId="4" fontId="3" numFmtId="164" xfId="0" applyAlignment="1" applyBorder="1" applyFont="1" applyNumberFormat="1">
      <alignment horizontal="center" readingOrder="0" vertical="center"/>
    </xf>
    <xf borderId="5" fillId="6" fontId="3" numFmtId="164" xfId="0" applyAlignment="1" applyBorder="1" applyFont="1" applyNumberFormat="1">
      <alignment horizontal="center" readingOrder="0" vertical="center"/>
    </xf>
    <xf borderId="2" fillId="7" fontId="2" numFmtId="1" xfId="0" applyAlignment="1" applyBorder="1" applyFont="1" applyNumberFormat="1">
      <alignment horizontal="center" readingOrder="0" vertical="center"/>
    </xf>
    <xf borderId="2" fillId="7" fontId="2" numFmtId="1" xfId="0" applyAlignment="1" applyBorder="1" applyFont="1" applyNumberFormat="1">
      <alignment horizontal="center" vertical="center"/>
    </xf>
    <xf borderId="2" fillId="6" fontId="2" numFmtId="1" xfId="0" applyAlignment="1" applyBorder="1" applyFont="1" applyNumberFormat="1">
      <alignment horizontal="center" vertical="center"/>
    </xf>
    <xf borderId="0" fillId="6" fontId="3" numFmtId="164" xfId="0" applyAlignment="1" applyFont="1" applyNumberFormat="1">
      <alignment horizontal="center" readingOrder="0" vertical="center"/>
    </xf>
    <xf borderId="0" fillId="6" fontId="3" numFmtId="10" xfId="0" applyAlignment="1" applyFont="1" applyNumberFormat="1">
      <alignment horizontal="center" vertical="center"/>
    </xf>
    <xf borderId="3" fillId="7" fontId="2" numFmtId="1" xfId="0" applyAlignment="1" applyBorder="1" applyFont="1" applyNumberFormat="1">
      <alignment horizontal="center" vertical="center"/>
    </xf>
    <xf borderId="0" fillId="7" fontId="2" numFmtId="1" xfId="0" applyAlignment="1" applyFont="1" applyNumberFormat="1">
      <alignment horizontal="center" readingOrder="0" vertical="center"/>
    </xf>
    <xf borderId="0" fillId="7" fontId="2" numFmtId="1" xfId="0" applyAlignment="1" applyFont="1" applyNumberFormat="1">
      <alignment horizontal="center" vertical="center"/>
    </xf>
    <xf borderId="0" fillId="6" fontId="2" numFmtId="1" xfId="0" applyAlignment="1" applyFont="1" applyNumberFormat="1">
      <alignment horizontal="center" vertical="center"/>
    </xf>
    <xf borderId="0" fillId="6" fontId="3" numFmtId="10" xfId="0" applyAlignment="1" applyFont="1" applyNumberFormat="1">
      <alignment horizontal="center" readingOrder="0" vertical="center"/>
    </xf>
    <xf borderId="3" fillId="7" fontId="2" numFmtId="3" xfId="0" applyAlignment="1" applyBorder="1" applyFont="1" applyNumberFormat="1">
      <alignment horizontal="center" vertical="center"/>
    </xf>
    <xf borderId="0" fillId="7" fontId="2" numFmtId="3" xfId="0" applyAlignment="1" applyFont="1" applyNumberFormat="1">
      <alignment horizontal="center" readingOrder="0" vertical="center"/>
    </xf>
    <xf borderId="0" fillId="7" fontId="2" numFmtId="3" xfId="0" applyAlignment="1" applyFont="1" applyNumberFormat="1">
      <alignment horizontal="center" vertical="center"/>
    </xf>
    <xf borderId="0" fillId="6" fontId="2" numFmtId="3" xfId="0" applyAlignment="1" applyFont="1" applyNumberFormat="1">
      <alignment horizontal="center" vertical="center"/>
    </xf>
    <xf borderId="3" fillId="4" fontId="3" numFmtId="10" xfId="0" applyAlignment="1" applyBorder="1" applyFont="1" applyNumberFormat="1">
      <alignment horizontal="center" vertical="center"/>
    </xf>
    <xf borderId="0" fillId="7" fontId="2" numFmtId="164" xfId="0" applyAlignment="1" applyFont="1" applyNumberFormat="1">
      <alignment horizontal="center" vertical="center"/>
    </xf>
    <xf borderId="0" fillId="6" fontId="2" numFmtId="164" xfId="0" applyAlignment="1" applyFont="1" applyNumberFormat="1">
      <alignment horizontal="center" vertical="center"/>
    </xf>
    <xf borderId="4" fillId="7" fontId="2" numFmtId="3" xfId="0" applyAlignment="1" applyBorder="1" applyFont="1" applyNumberFormat="1">
      <alignment horizontal="center" vertical="center"/>
    </xf>
    <xf borderId="5" fillId="7" fontId="2" numFmtId="10" xfId="0" applyAlignment="1" applyBorder="1" applyFont="1" applyNumberFormat="1">
      <alignment horizontal="center" vertical="center"/>
    </xf>
    <xf borderId="5" fillId="7" fontId="2" numFmtId="10" xfId="0" applyAlignment="1" applyBorder="1" applyFont="1" applyNumberFormat="1">
      <alignment horizontal="center" readingOrder="0" vertical="center"/>
    </xf>
    <xf borderId="5" fillId="6" fontId="2" numFmtId="10" xfId="0" applyAlignment="1" applyBorder="1" applyFont="1" applyNumberFormat="1">
      <alignment horizontal="center" readingOrder="0" vertical="center"/>
    </xf>
    <xf borderId="0" fillId="6" fontId="1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6" fontId="3" numFmtId="9" xfId="0" applyAlignment="1" applyFont="1" applyNumberFormat="1">
      <alignment horizontal="center" readingOrder="0" vertical="center"/>
    </xf>
    <xf borderId="0" fillId="7" fontId="2" numFmtId="164" xfId="0" applyAlignment="1" applyFont="1" applyNumberFormat="1">
      <alignment horizontal="center" readingOrder="0" vertical="center"/>
    </xf>
    <xf borderId="0" fillId="7" fontId="2" numFmtId="4" xfId="0" applyAlignment="1" applyFont="1" applyNumberFormat="1">
      <alignment horizontal="center" readingOrder="0" vertical="center"/>
    </xf>
    <xf borderId="0" fillId="7" fontId="2" numFmtId="4" xfId="0" applyAlignment="1" applyFont="1" applyNumberFormat="1">
      <alignment horizontal="center" vertical="center"/>
    </xf>
    <xf borderId="0" fillId="6" fontId="2" numFmtId="4" xfId="0" applyAlignment="1" applyFont="1" applyNumberFormat="1">
      <alignment horizontal="center" vertical="center"/>
    </xf>
    <xf borderId="0" fillId="6" fontId="2" numFmtId="164" xfId="0" applyAlignment="1" applyFont="1" applyNumberFormat="1">
      <alignment horizontal="center" readingOrder="0" vertical="center"/>
    </xf>
    <xf borderId="0" fillId="6" fontId="3" numFmtId="164" xfId="0" applyAlignment="1" applyFont="1" applyNumberFormat="1">
      <alignment horizontal="center" readingOrder="0" shrinkToFit="0" vertical="center" wrapText="1"/>
    </xf>
    <xf borderId="0" fillId="6" fontId="4" numFmtId="0" xfId="0" applyFont="1"/>
    <xf borderId="0" fillId="6" fontId="3" numFmtId="3" xfId="0" applyAlignment="1" applyFont="1" applyNumberFormat="1">
      <alignment horizontal="center" readingOrder="0" vertical="center"/>
    </xf>
    <xf borderId="0" fillId="3" fontId="5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Tempo até o Payback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'Projeção Break Even'!$A$1:$K$1</c:f>
            </c:strRef>
          </c:cat>
          <c:val>
            <c:numRef>
              <c:f>'Projeção Break Even'!$A$17:$K$17</c:f>
              <c:numCache/>
            </c:numRef>
          </c:val>
          <c:smooth val="0"/>
        </c:ser>
        <c:axId val="1502651797"/>
        <c:axId val="2130622206"/>
      </c:lineChart>
      <c:catAx>
        <c:axId val="1502651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0622206"/>
      </c:catAx>
      <c:valAx>
        <c:axId val="21306222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2651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Resultado Líquido Acumulado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'Projeção Break Even'!$A$17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'Projeção Break Even'!$B$1:$K$1</c:f>
            </c:strRef>
          </c:cat>
          <c:val>
            <c:numRef>
              <c:f>'Projeção Break Even'!$B$17:$K$17</c:f>
              <c:numCache/>
            </c:numRef>
          </c:val>
          <c:smooth val="0"/>
        </c:ser>
        <c:axId val="1278891655"/>
        <c:axId val="1586797315"/>
      </c:lineChart>
      <c:catAx>
        <c:axId val="1278891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6797315"/>
      </c:catAx>
      <c:valAx>
        <c:axId val="1586797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8891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34343"/>
                </a:solidFill>
                <a:latin typeface="Roboto"/>
              </a:defRPr>
            </a:pPr>
            <a:r>
              <a:rPr b="1">
                <a:solidFill>
                  <a:srgbClr val="434343"/>
                </a:solidFill>
                <a:latin typeface="Roboto"/>
              </a:rPr>
              <a:t>Resultado Bruto Mensal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'Projeção Break Even'!$A$17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'Projeção Break Even'!$B$1:$K$1</c:f>
            </c:strRef>
          </c:cat>
          <c:val>
            <c:numRef>
              <c:f>'Projeção Break Even'!$B$17:$K$17</c:f>
              <c:numCache/>
            </c:numRef>
          </c:val>
          <c:smooth val="0"/>
        </c:ser>
        <c:axId val="1045106002"/>
        <c:axId val="240934702"/>
      </c:lineChart>
      <c:catAx>
        <c:axId val="1045106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0934702"/>
      </c:catAx>
      <c:valAx>
        <c:axId val="240934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5106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33</xdr:row>
      <xdr:rowOff>9525</xdr:rowOff>
    </xdr:from>
    <xdr:ext cx="1178242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1009650</xdr:colOff>
      <xdr:row>50</xdr:row>
      <xdr:rowOff>85725</xdr:rowOff>
    </xdr:from>
    <xdr:ext cx="117824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1009650</xdr:colOff>
      <xdr:row>71</xdr:row>
      <xdr:rowOff>171450</xdr:rowOff>
    </xdr:from>
    <xdr:ext cx="11782425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18.38"/>
    <col customWidth="1" min="4" max="9" width="13.5"/>
    <col customWidth="1" min="10" max="10" width="11.0"/>
    <col hidden="1" min="16" max="26" width="12.63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6" t="s">
        <v>19</v>
      </c>
      <c r="B3" s="7">
        <f>55000*12</f>
        <v>660000</v>
      </c>
      <c r="C3" s="7">
        <v>55000.0</v>
      </c>
      <c r="D3" s="7">
        <v>55000.0</v>
      </c>
      <c r="E3" s="7">
        <v>55000.0</v>
      </c>
      <c r="F3" s="7">
        <v>55000.0</v>
      </c>
      <c r="G3" s="7">
        <v>55000.0</v>
      </c>
      <c r="H3" s="7">
        <v>55000.0</v>
      </c>
      <c r="I3" s="7">
        <v>55000.0</v>
      </c>
      <c r="J3" s="7">
        <v>55000.0</v>
      </c>
      <c r="K3" s="7">
        <v>55000.0</v>
      </c>
      <c r="L3" s="7">
        <v>55000.0</v>
      </c>
      <c r="M3" s="7">
        <v>55000.0</v>
      </c>
      <c r="N3" s="7">
        <v>55000.0</v>
      </c>
      <c r="O3" s="7">
        <v>55000.0</v>
      </c>
      <c r="P3" s="8"/>
      <c r="Q3" s="8"/>
      <c r="R3" s="8"/>
      <c r="S3" s="8"/>
      <c r="T3" s="8"/>
      <c r="U3" s="8"/>
      <c r="V3" s="8"/>
      <c r="W3" s="8"/>
      <c r="X3" s="8"/>
      <c r="Y3" s="8"/>
      <c r="Z3" s="1"/>
    </row>
    <row r="4">
      <c r="A4" s="9" t="s">
        <v>20</v>
      </c>
      <c r="B4" s="8">
        <f t="shared" ref="B4:Y4" si="1">B5+B6</f>
        <v>41611.69</v>
      </c>
      <c r="C4" s="8">
        <f t="shared" si="1"/>
        <v>150000</v>
      </c>
      <c r="D4" s="8">
        <f t="shared" si="1"/>
        <v>15000</v>
      </c>
      <c r="E4" s="8">
        <f t="shared" si="1"/>
        <v>15000</v>
      </c>
      <c r="F4" s="8">
        <f t="shared" si="1"/>
        <v>15000</v>
      </c>
      <c r="G4" s="8">
        <f t="shared" si="1"/>
        <v>15000</v>
      </c>
      <c r="H4" s="8">
        <f t="shared" si="1"/>
        <v>15000</v>
      </c>
      <c r="I4" s="8">
        <f t="shared" si="1"/>
        <v>15000</v>
      </c>
      <c r="J4" s="8">
        <f t="shared" si="1"/>
        <v>15000</v>
      </c>
      <c r="K4" s="8">
        <f t="shared" si="1"/>
        <v>15000</v>
      </c>
      <c r="L4" s="8">
        <f t="shared" si="1"/>
        <v>15000</v>
      </c>
      <c r="M4" s="8">
        <f t="shared" si="1"/>
        <v>15000</v>
      </c>
      <c r="N4" s="8">
        <f t="shared" si="1"/>
        <v>15000</v>
      </c>
      <c r="O4" s="8">
        <f t="shared" si="1"/>
        <v>15000</v>
      </c>
      <c r="P4" s="8">
        <f t="shared" si="1"/>
        <v>11000</v>
      </c>
      <c r="Q4" s="8">
        <f t="shared" si="1"/>
        <v>11000</v>
      </c>
      <c r="R4" s="8">
        <f t="shared" si="1"/>
        <v>11000</v>
      </c>
      <c r="S4" s="8">
        <f t="shared" si="1"/>
        <v>11000</v>
      </c>
      <c r="T4" s="8">
        <f t="shared" si="1"/>
        <v>11000</v>
      </c>
      <c r="U4" s="8">
        <f t="shared" si="1"/>
        <v>11000</v>
      </c>
      <c r="V4" s="8">
        <f t="shared" si="1"/>
        <v>11000</v>
      </c>
      <c r="W4" s="8">
        <f t="shared" si="1"/>
        <v>11000</v>
      </c>
      <c r="X4" s="8">
        <f t="shared" si="1"/>
        <v>11000</v>
      </c>
      <c r="Y4" s="8">
        <f t="shared" si="1"/>
        <v>11000</v>
      </c>
      <c r="Z4" s="1"/>
    </row>
    <row r="5">
      <c r="A5" s="10" t="s">
        <v>21</v>
      </c>
      <c r="B5" s="10">
        <f>5000*4</f>
        <v>20000</v>
      </c>
      <c r="C5" s="10">
        <f>5000*12</f>
        <v>60000</v>
      </c>
      <c r="D5" s="11">
        <v>5000.0</v>
      </c>
      <c r="E5" s="11">
        <v>5000.0</v>
      </c>
      <c r="F5" s="11">
        <v>5000.0</v>
      </c>
      <c r="G5" s="11">
        <v>5000.0</v>
      </c>
      <c r="H5" s="11">
        <v>5000.0</v>
      </c>
      <c r="I5" s="11">
        <v>5000.0</v>
      </c>
      <c r="J5" s="11">
        <v>5000.0</v>
      </c>
      <c r="K5" s="11">
        <v>5000.0</v>
      </c>
      <c r="L5" s="11">
        <v>5000.0</v>
      </c>
      <c r="M5" s="11">
        <v>5000.0</v>
      </c>
      <c r="N5" s="11">
        <v>5000.0</v>
      </c>
      <c r="O5" s="11">
        <v>5000.0</v>
      </c>
      <c r="P5" s="11">
        <v>7500.0</v>
      </c>
      <c r="Q5" s="11">
        <v>7500.0</v>
      </c>
      <c r="R5" s="11">
        <v>7500.0</v>
      </c>
      <c r="S5" s="11">
        <v>7500.0</v>
      </c>
      <c r="T5" s="11">
        <v>7500.0</v>
      </c>
      <c r="U5" s="11">
        <v>7500.0</v>
      </c>
      <c r="V5" s="11">
        <v>7500.0</v>
      </c>
      <c r="W5" s="11">
        <v>7500.0</v>
      </c>
      <c r="X5" s="11">
        <v>7500.0</v>
      </c>
      <c r="Y5" s="11">
        <v>7500.0</v>
      </c>
      <c r="Z5" s="1"/>
    </row>
    <row r="6">
      <c r="A6" s="10" t="s">
        <v>22</v>
      </c>
      <c r="B6" s="11">
        <v>21611.69</v>
      </c>
      <c r="C6" s="11">
        <v>90000.0</v>
      </c>
      <c r="D6" s="11">
        <v>10000.0</v>
      </c>
      <c r="E6" s="11">
        <v>10000.0</v>
      </c>
      <c r="F6" s="11">
        <v>10000.0</v>
      </c>
      <c r="G6" s="11">
        <v>10000.0</v>
      </c>
      <c r="H6" s="11">
        <v>10000.0</v>
      </c>
      <c r="I6" s="11">
        <v>10000.0</v>
      </c>
      <c r="J6" s="11">
        <v>10000.0</v>
      </c>
      <c r="K6" s="11">
        <v>10000.0</v>
      </c>
      <c r="L6" s="11">
        <v>10000.0</v>
      </c>
      <c r="M6" s="11">
        <v>10000.0</v>
      </c>
      <c r="N6" s="11">
        <v>10000.0</v>
      </c>
      <c r="O6" s="11">
        <v>10000.0</v>
      </c>
      <c r="P6" s="11">
        <v>3500.0</v>
      </c>
      <c r="Q6" s="11">
        <v>3500.0</v>
      </c>
      <c r="R6" s="11">
        <v>3500.0</v>
      </c>
      <c r="S6" s="11">
        <v>3500.0</v>
      </c>
      <c r="T6" s="11">
        <v>3500.0</v>
      </c>
      <c r="U6" s="11">
        <v>3500.0</v>
      </c>
      <c r="V6" s="11">
        <v>3500.0</v>
      </c>
      <c r="W6" s="11">
        <v>3500.0</v>
      </c>
      <c r="X6" s="11">
        <v>3500.0</v>
      </c>
      <c r="Y6" s="11">
        <v>3500.0</v>
      </c>
      <c r="Z6" s="1"/>
    </row>
    <row r="7">
      <c r="A7" s="9" t="s">
        <v>23</v>
      </c>
      <c r="B7" s="12">
        <v>808.0</v>
      </c>
      <c r="C7" s="13">
        <f t="shared" ref="C7:Y7" si="2">ROUNDDOWN(C6/C8,0)</f>
        <v>3333</v>
      </c>
      <c r="D7" s="13">
        <f t="shared" si="2"/>
        <v>370</v>
      </c>
      <c r="E7" s="13">
        <f t="shared" si="2"/>
        <v>370</v>
      </c>
      <c r="F7" s="13">
        <f t="shared" si="2"/>
        <v>370</v>
      </c>
      <c r="G7" s="13">
        <f t="shared" si="2"/>
        <v>370</v>
      </c>
      <c r="H7" s="13">
        <f t="shared" si="2"/>
        <v>370</v>
      </c>
      <c r="I7" s="13">
        <f t="shared" si="2"/>
        <v>370</v>
      </c>
      <c r="J7" s="13">
        <f t="shared" si="2"/>
        <v>370</v>
      </c>
      <c r="K7" s="13">
        <f t="shared" si="2"/>
        <v>370</v>
      </c>
      <c r="L7" s="13">
        <f t="shared" si="2"/>
        <v>370</v>
      </c>
      <c r="M7" s="13">
        <f t="shared" si="2"/>
        <v>370</v>
      </c>
      <c r="N7" s="13">
        <f t="shared" si="2"/>
        <v>370</v>
      </c>
      <c r="O7" s="13">
        <f t="shared" si="2"/>
        <v>370</v>
      </c>
      <c r="P7" s="13">
        <f t="shared" si="2"/>
        <v>43</v>
      </c>
      <c r="Q7" s="13">
        <f t="shared" si="2"/>
        <v>43</v>
      </c>
      <c r="R7" s="13">
        <f t="shared" si="2"/>
        <v>43</v>
      </c>
      <c r="S7" s="13">
        <f t="shared" si="2"/>
        <v>43</v>
      </c>
      <c r="T7" s="13">
        <f t="shared" si="2"/>
        <v>43</v>
      </c>
      <c r="U7" s="13">
        <f t="shared" si="2"/>
        <v>43</v>
      </c>
      <c r="V7" s="13">
        <f t="shared" si="2"/>
        <v>43</v>
      </c>
      <c r="W7" s="13">
        <f t="shared" si="2"/>
        <v>43</v>
      </c>
      <c r="X7" s="13">
        <f t="shared" si="2"/>
        <v>43</v>
      </c>
      <c r="Y7" s="13">
        <f t="shared" si="2"/>
        <v>43</v>
      </c>
      <c r="Z7" s="1"/>
    </row>
    <row r="8">
      <c r="A8" s="10" t="s">
        <v>24</v>
      </c>
      <c r="B8" s="10">
        <f>B6/B7</f>
        <v>26.74714109</v>
      </c>
      <c r="C8" s="11">
        <v>27.0</v>
      </c>
      <c r="D8" s="11">
        <v>27.0</v>
      </c>
      <c r="E8" s="11">
        <v>27.0</v>
      </c>
      <c r="F8" s="11">
        <v>27.0</v>
      </c>
      <c r="G8" s="11">
        <v>27.0</v>
      </c>
      <c r="H8" s="11">
        <v>27.0</v>
      </c>
      <c r="I8" s="11">
        <v>27.0</v>
      </c>
      <c r="J8" s="11">
        <v>27.0</v>
      </c>
      <c r="K8" s="11">
        <v>27.0</v>
      </c>
      <c r="L8" s="11">
        <v>27.0</v>
      </c>
      <c r="M8" s="11">
        <v>27.0</v>
      </c>
      <c r="N8" s="11">
        <v>27.0</v>
      </c>
      <c r="O8" s="11">
        <v>27.0</v>
      </c>
      <c r="P8" s="11">
        <v>80.0</v>
      </c>
      <c r="Q8" s="11">
        <v>80.0</v>
      </c>
      <c r="R8" s="11">
        <v>80.0</v>
      </c>
      <c r="S8" s="11">
        <v>80.0</v>
      </c>
      <c r="T8" s="11">
        <v>80.0</v>
      </c>
      <c r="U8" s="11">
        <v>80.0</v>
      </c>
      <c r="V8" s="11">
        <v>80.0</v>
      </c>
      <c r="W8" s="11">
        <v>80.0</v>
      </c>
      <c r="X8" s="11">
        <v>80.0</v>
      </c>
      <c r="Y8" s="11">
        <v>80.0</v>
      </c>
      <c r="Z8" s="1"/>
    </row>
    <row r="9" hidden="1">
      <c r="A9" s="10" t="s">
        <v>25</v>
      </c>
      <c r="B9" s="14">
        <f>B10/B7</f>
        <v>1.425742574</v>
      </c>
      <c r="C9" s="14">
        <v>1.0</v>
      </c>
      <c r="D9" s="14">
        <v>1.0</v>
      </c>
      <c r="E9" s="14">
        <v>1.0</v>
      </c>
      <c r="F9" s="14">
        <v>1.0</v>
      </c>
      <c r="G9" s="14">
        <v>1.0</v>
      </c>
      <c r="H9" s="14">
        <v>1.0</v>
      </c>
      <c r="I9" s="14">
        <v>1.0</v>
      </c>
      <c r="J9" s="14">
        <v>1.0</v>
      </c>
      <c r="K9" s="14">
        <v>1.0</v>
      </c>
      <c r="L9" s="14">
        <v>1.0</v>
      </c>
      <c r="M9" s="14">
        <v>1.0</v>
      </c>
      <c r="N9" s="14">
        <v>1.0</v>
      </c>
      <c r="O9" s="14">
        <v>1.0</v>
      </c>
      <c r="P9" s="14">
        <v>1.0</v>
      </c>
      <c r="Q9" s="14">
        <v>1.0</v>
      </c>
      <c r="R9" s="14">
        <v>1.0</v>
      </c>
      <c r="S9" s="14">
        <v>1.0</v>
      </c>
      <c r="T9" s="14">
        <v>1.0</v>
      </c>
      <c r="U9" s="14">
        <v>1.0</v>
      </c>
      <c r="V9" s="14">
        <v>1.0</v>
      </c>
      <c r="W9" s="14">
        <v>1.0</v>
      </c>
      <c r="X9" s="14">
        <v>1.0</v>
      </c>
      <c r="Y9" s="14">
        <v>1.0</v>
      </c>
      <c r="Z9" s="1"/>
    </row>
    <row r="10" hidden="1">
      <c r="A10" s="13" t="s">
        <v>26</v>
      </c>
      <c r="B10" s="12">
        <v>1152.0</v>
      </c>
      <c r="C10" s="13">
        <f t="shared" ref="C10:Y10" si="3">ROUNDDOWN(C7*C9,0)</f>
        <v>3333</v>
      </c>
      <c r="D10" s="13">
        <f t="shared" si="3"/>
        <v>370</v>
      </c>
      <c r="E10" s="13">
        <f t="shared" si="3"/>
        <v>370</v>
      </c>
      <c r="F10" s="13">
        <f t="shared" si="3"/>
        <v>370</v>
      </c>
      <c r="G10" s="13">
        <f t="shared" si="3"/>
        <v>370</v>
      </c>
      <c r="H10" s="13">
        <f t="shared" si="3"/>
        <v>370</v>
      </c>
      <c r="I10" s="13">
        <f t="shared" si="3"/>
        <v>370</v>
      </c>
      <c r="J10" s="13">
        <f t="shared" si="3"/>
        <v>370</v>
      </c>
      <c r="K10" s="13">
        <f t="shared" si="3"/>
        <v>370</v>
      </c>
      <c r="L10" s="13">
        <f t="shared" si="3"/>
        <v>370</v>
      </c>
      <c r="M10" s="13">
        <f t="shared" si="3"/>
        <v>370</v>
      </c>
      <c r="N10" s="13">
        <f t="shared" si="3"/>
        <v>370</v>
      </c>
      <c r="O10" s="13">
        <f t="shared" si="3"/>
        <v>370</v>
      </c>
      <c r="P10" s="13">
        <f t="shared" si="3"/>
        <v>43</v>
      </c>
      <c r="Q10" s="13">
        <f t="shared" si="3"/>
        <v>43</v>
      </c>
      <c r="R10" s="13">
        <f t="shared" si="3"/>
        <v>43</v>
      </c>
      <c r="S10" s="13">
        <f t="shared" si="3"/>
        <v>43</v>
      </c>
      <c r="T10" s="13">
        <f t="shared" si="3"/>
        <v>43</v>
      </c>
      <c r="U10" s="13">
        <f t="shared" si="3"/>
        <v>43</v>
      </c>
      <c r="V10" s="13">
        <f t="shared" si="3"/>
        <v>43</v>
      </c>
      <c r="W10" s="13">
        <f t="shared" si="3"/>
        <v>43</v>
      </c>
      <c r="X10" s="13">
        <f t="shared" si="3"/>
        <v>43</v>
      </c>
      <c r="Y10" s="13">
        <f t="shared" si="3"/>
        <v>43</v>
      </c>
      <c r="Z10" s="1"/>
    </row>
    <row r="11" hidden="1">
      <c r="A11" s="10" t="s">
        <v>27</v>
      </c>
      <c r="B11" s="10">
        <f>B6/B10</f>
        <v>18.76014757</v>
      </c>
      <c r="C11" s="10">
        <v>222.91666666666666</v>
      </c>
      <c r="D11" s="10">
        <v>222.91666666666666</v>
      </c>
      <c r="E11" s="10">
        <v>222.91666666666666</v>
      </c>
      <c r="F11" s="10">
        <v>222.91666666666666</v>
      </c>
      <c r="G11" s="10">
        <v>222.91666666666666</v>
      </c>
      <c r="H11" s="10">
        <v>222.91666666666666</v>
      </c>
      <c r="I11" s="10">
        <v>222.91666666666666</v>
      </c>
      <c r="J11" s="10">
        <v>222.91666666666666</v>
      </c>
      <c r="K11" s="10">
        <v>222.91666666666666</v>
      </c>
      <c r="L11" s="10">
        <v>222.91666666666666</v>
      </c>
      <c r="M11" s="10">
        <v>222.91666666666666</v>
      </c>
      <c r="N11" s="10">
        <v>222.91666666666666</v>
      </c>
      <c r="O11" s="10">
        <v>222.91666666666666</v>
      </c>
      <c r="P11" s="10">
        <v>222.91666666666666</v>
      </c>
      <c r="Q11" s="10">
        <v>222.91666666666666</v>
      </c>
      <c r="R11" s="10">
        <v>222.91666666666666</v>
      </c>
      <c r="S11" s="10">
        <v>222.91666666666666</v>
      </c>
      <c r="T11" s="10">
        <v>222.91666666666666</v>
      </c>
      <c r="U11" s="10">
        <v>222.91666666666666</v>
      </c>
      <c r="V11" s="10">
        <v>222.91666666666666</v>
      </c>
      <c r="W11" s="10">
        <v>222.91666666666666</v>
      </c>
      <c r="X11" s="10">
        <v>222.91666666666666</v>
      </c>
      <c r="Y11" s="10">
        <v>222.91666666666666</v>
      </c>
      <c r="Z11" s="1"/>
    </row>
    <row r="12" hidden="1">
      <c r="A12" s="10" t="s">
        <v>28</v>
      </c>
      <c r="B12" s="14">
        <f>B13/B10</f>
        <v>1</v>
      </c>
      <c r="C12" s="15">
        <v>0.2</v>
      </c>
      <c r="D12" s="15">
        <v>0.17</v>
      </c>
      <c r="E12" s="15">
        <v>0.19</v>
      </c>
      <c r="F12" s="15">
        <v>0.21</v>
      </c>
      <c r="G12" s="15">
        <v>0.22</v>
      </c>
      <c r="H12" s="15">
        <v>0.23</v>
      </c>
      <c r="I12" s="15">
        <v>0.25</v>
      </c>
      <c r="J12" s="15">
        <v>0.25</v>
      </c>
      <c r="K12" s="15">
        <v>0.25</v>
      </c>
      <c r="L12" s="15">
        <v>0.25</v>
      </c>
      <c r="M12" s="15">
        <v>0.25</v>
      </c>
      <c r="N12" s="15">
        <v>0.25</v>
      </c>
      <c r="O12" s="15">
        <v>0.25</v>
      </c>
      <c r="P12" s="15">
        <v>0.25</v>
      </c>
      <c r="Q12" s="15">
        <v>0.25</v>
      </c>
      <c r="R12" s="15">
        <v>0.25</v>
      </c>
      <c r="S12" s="15">
        <v>0.25</v>
      </c>
      <c r="T12" s="15">
        <v>0.25</v>
      </c>
      <c r="U12" s="15">
        <v>0.25</v>
      </c>
      <c r="V12" s="15">
        <v>0.25</v>
      </c>
      <c r="W12" s="15">
        <v>0.25</v>
      </c>
      <c r="X12" s="15">
        <v>0.25</v>
      </c>
      <c r="Y12" s="15">
        <v>0.25</v>
      </c>
      <c r="Z12" s="1"/>
    </row>
    <row r="13" hidden="1">
      <c r="A13" s="16" t="s">
        <v>29</v>
      </c>
      <c r="B13" s="17">
        <v>1152.0</v>
      </c>
      <c r="C13" s="16">
        <f t="shared" ref="C13:Y13" si="4">ROUNDDOWN(C12*C10,0)</f>
        <v>666</v>
      </c>
      <c r="D13" s="16">
        <f t="shared" si="4"/>
        <v>62</v>
      </c>
      <c r="E13" s="16">
        <f t="shared" si="4"/>
        <v>70</v>
      </c>
      <c r="F13" s="16">
        <f t="shared" si="4"/>
        <v>77</v>
      </c>
      <c r="G13" s="16">
        <f t="shared" si="4"/>
        <v>81</v>
      </c>
      <c r="H13" s="16">
        <f t="shared" si="4"/>
        <v>85</v>
      </c>
      <c r="I13" s="16">
        <f t="shared" si="4"/>
        <v>92</v>
      </c>
      <c r="J13" s="16">
        <f t="shared" si="4"/>
        <v>92</v>
      </c>
      <c r="K13" s="16">
        <f t="shared" si="4"/>
        <v>92</v>
      </c>
      <c r="L13" s="16">
        <f t="shared" si="4"/>
        <v>92</v>
      </c>
      <c r="M13" s="16">
        <f t="shared" si="4"/>
        <v>92</v>
      </c>
      <c r="N13" s="16">
        <f t="shared" si="4"/>
        <v>92</v>
      </c>
      <c r="O13" s="16">
        <f t="shared" si="4"/>
        <v>92</v>
      </c>
      <c r="P13" s="16">
        <f t="shared" si="4"/>
        <v>10</v>
      </c>
      <c r="Q13" s="16">
        <f t="shared" si="4"/>
        <v>10</v>
      </c>
      <c r="R13" s="16">
        <f t="shared" si="4"/>
        <v>10</v>
      </c>
      <c r="S13" s="16">
        <f t="shared" si="4"/>
        <v>10</v>
      </c>
      <c r="T13" s="16">
        <f t="shared" si="4"/>
        <v>10</v>
      </c>
      <c r="U13" s="16">
        <f t="shared" si="4"/>
        <v>10</v>
      </c>
      <c r="V13" s="16">
        <f t="shared" si="4"/>
        <v>10</v>
      </c>
      <c r="W13" s="16">
        <f t="shared" si="4"/>
        <v>10</v>
      </c>
      <c r="X13" s="16">
        <f t="shared" si="4"/>
        <v>10</v>
      </c>
      <c r="Y13" s="16">
        <f t="shared" si="4"/>
        <v>10</v>
      </c>
      <c r="Z13" s="1"/>
    </row>
    <row r="14" hidden="1">
      <c r="A14" s="10" t="s">
        <v>30</v>
      </c>
      <c r="B14" s="10">
        <f>B6/B13</f>
        <v>18.76014757</v>
      </c>
      <c r="C14" s="10">
        <v>1528.5714285714287</v>
      </c>
      <c r="D14" s="10">
        <v>1528.5714285714287</v>
      </c>
      <c r="E14" s="10">
        <v>1528.5714285714287</v>
      </c>
      <c r="F14" s="10">
        <v>1528.5714285714287</v>
      </c>
      <c r="G14" s="10">
        <v>1528.5714285714287</v>
      </c>
      <c r="H14" s="10">
        <v>1528.5714285714287</v>
      </c>
      <c r="I14" s="10">
        <v>1528.5714285714287</v>
      </c>
      <c r="J14" s="10">
        <v>1528.5714285714287</v>
      </c>
      <c r="K14" s="10">
        <v>1528.5714285714287</v>
      </c>
      <c r="L14" s="10">
        <v>1528.5714285714287</v>
      </c>
      <c r="M14" s="10">
        <v>1528.5714285714287</v>
      </c>
      <c r="N14" s="10">
        <v>1528.5714285714287</v>
      </c>
      <c r="O14" s="10">
        <v>1528.5714285714287</v>
      </c>
      <c r="P14" s="10">
        <v>1528.5714285714287</v>
      </c>
      <c r="Q14" s="10">
        <v>1528.5714285714287</v>
      </c>
      <c r="R14" s="10">
        <v>1528.5714285714287</v>
      </c>
      <c r="S14" s="10">
        <v>1528.5714285714287</v>
      </c>
      <c r="T14" s="10">
        <v>1528.5714285714287</v>
      </c>
      <c r="U14" s="10">
        <v>1528.5714285714287</v>
      </c>
      <c r="V14" s="10">
        <v>1528.5714285714287</v>
      </c>
      <c r="W14" s="10">
        <v>1528.5714285714287</v>
      </c>
      <c r="X14" s="10">
        <v>1528.5714285714287</v>
      </c>
      <c r="Y14" s="10">
        <v>1528.5714285714287</v>
      </c>
      <c r="Z14" s="1"/>
    </row>
    <row r="15" hidden="1">
      <c r="A15" s="10" t="s">
        <v>31</v>
      </c>
      <c r="B15" s="18">
        <f>B16/B13</f>
        <v>0.06423611111</v>
      </c>
      <c r="C15" s="19">
        <v>0.25</v>
      </c>
      <c r="D15" s="19">
        <v>0.34</v>
      </c>
      <c r="E15" s="19">
        <v>0.34</v>
      </c>
      <c r="F15" s="19">
        <v>0.25</v>
      </c>
      <c r="G15" s="19">
        <v>0.25</v>
      </c>
      <c r="H15" s="19">
        <v>0.25</v>
      </c>
      <c r="I15" s="19">
        <v>0.25</v>
      </c>
      <c r="J15" s="19">
        <v>0.25</v>
      </c>
      <c r="K15" s="19">
        <v>0.25</v>
      </c>
      <c r="L15" s="19">
        <v>0.25</v>
      </c>
      <c r="M15" s="19">
        <v>0.25</v>
      </c>
      <c r="N15" s="19">
        <v>0.25</v>
      </c>
      <c r="O15" s="19">
        <v>0.25</v>
      </c>
      <c r="P15" s="19">
        <v>0.25</v>
      </c>
      <c r="Q15" s="19">
        <v>0.25</v>
      </c>
      <c r="R15" s="19">
        <v>0.25</v>
      </c>
      <c r="S15" s="19">
        <v>0.25</v>
      </c>
      <c r="T15" s="19">
        <v>0.25</v>
      </c>
      <c r="U15" s="19">
        <v>0.25</v>
      </c>
      <c r="V15" s="19">
        <v>0.25</v>
      </c>
      <c r="W15" s="19">
        <v>0.25</v>
      </c>
      <c r="X15" s="19">
        <v>0.25</v>
      </c>
      <c r="Y15" s="19">
        <v>0.25</v>
      </c>
      <c r="Z15" s="1"/>
    </row>
    <row r="16">
      <c r="A16" s="16" t="s">
        <v>32</v>
      </c>
      <c r="B16" s="17">
        <v>74.0</v>
      </c>
      <c r="C16" s="16">
        <f t="shared" ref="C16:O16" si="5">ROUNDDOWN(C18*C7,0)</f>
        <v>266</v>
      </c>
      <c r="D16" s="16">
        <f t="shared" si="5"/>
        <v>85</v>
      </c>
      <c r="E16" s="16">
        <f t="shared" si="5"/>
        <v>85</v>
      </c>
      <c r="F16" s="16">
        <f t="shared" si="5"/>
        <v>85</v>
      </c>
      <c r="G16" s="16">
        <f t="shared" si="5"/>
        <v>85</v>
      </c>
      <c r="H16" s="16">
        <f t="shared" si="5"/>
        <v>85</v>
      </c>
      <c r="I16" s="16">
        <f t="shared" si="5"/>
        <v>85</v>
      </c>
      <c r="J16" s="16">
        <f t="shared" si="5"/>
        <v>85</v>
      </c>
      <c r="K16" s="16">
        <f t="shared" si="5"/>
        <v>85</v>
      </c>
      <c r="L16" s="16">
        <f t="shared" si="5"/>
        <v>85</v>
      </c>
      <c r="M16" s="16">
        <f t="shared" si="5"/>
        <v>85</v>
      </c>
      <c r="N16" s="16">
        <f t="shared" si="5"/>
        <v>85</v>
      </c>
      <c r="O16" s="16">
        <f t="shared" si="5"/>
        <v>85</v>
      </c>
      <c r="P16" s="16">
        <f t="shared" ref="P16:Y16" si="6">ROUNDDOWN(P15*P13,0)</f>
        <v>2</v>
      </c>
      <c r="Q16" s="16">
        <f t="shared" si="6"/>
        <v>2</v>
      </c>
      <c r="R16" s="16">
        <f t="shared" si="6"/>
        <v>2</v>
      </c>
      <c r="S16" s="16">
        <f t="shared" si="6"/>
        <v>2</v>
      </c>
      <c r="T16" s="16">
        <f t="shared" si="6"/>
        <v>2</v>
      </c>
      <c r="U16" s="16">
        <f t="shared" si="6"/>
        <v>2</v>
      </c>
      <c r="V16" s="16">
        <f t="shared" si="6"/>
        <v>2</v>
      </c>
      <c r="W16" s="16">
        <f t="shared" si="6"/>
        <v>2</v>
      </c>
      <c r="X16" s="16">
        <f t="shared" si="6"/>
        <v>2</v>
      </c>
      <c r="Y16" s="16">
        <f t="shared" si="6"/>
        <v>2</v>
      </c>
      <c r="Z16" s="1"/>
    </row>
    <row r="17">
      <c r="A17" s="20" t="s">
        <v>33</v>
      </c>
      <c r="B17" s="10">
        <f t="shared" ref="B17:Y17" si="7">IFERROR(B6/B16,"0")</f>
        <v>292.0498649</v>
      </c>
      <c r="C17" s="10">
        <f t="shared" si="7"/>
        <v>338.3458647</v>
      </c>
      <c r="D17" s="10">
        <f t="shared" si="7"/>
        <v>117.6470588</v>
      </c>
      <c r="E17" s="10">
        <f t="shared" si="7"/>
        <v>117.6470588</v>
      </c>
      <c r="F17" s="10">
        <f t="shared" si="7"/>
        <v>117.6470588</v>
      </c>
      <c r="G17" s="10">
        <f t="shared" si="7"/>
        <v>117.6470588</v>
      </c>
      <c r="H17" s="10">
        <f t="shared" si="7"/>
        <v>117.6470588</v>
      </c>
      <c r="I17" s="10">
        <f t="shared" si="7"/>
        <v>117.6470588</v>
      </c>
      <c r="J17" s="10">
        <f t="shared" si="7"/>
        <v>117.6470588</v>
      </c>
      <c r="K17" s="10">
        <f t="shared" si="7"/>
        <v>117.6470588</v>
      </c>
      <c r="L17" s="10">
        <f t="shared" si="7"/>
        <v>117.6470588</v>
      </c>
      <c r="M17" s="10">
        <f t="shared" si="7"/>
        <v>117.6470588</v>
      </c>
      <c r="N17" s="10">
        <f t="shared" si="7"/>
        <v>117.6470588</v>
      </c>
      <c r="O17" s="10">
        <f t="shared" si="7"/>
        <v>117.6470588</v>
      </c>
      <c r="P17" s="10">
        <f t="shared" si="7"/>
        <v>1750</v>
      </c>
      <c r="Q17" s="10">
        <f t="shared" si="7"/>
        <v>1750</v>
      </c>
      <c r="R17" s="10">
        <f t="shared" si="7"/>
        <v>1750</v>
      </c>
      <c r="S17" s="10">
        <f t="shared" si="7"/>
        <v>1750</v>
      </c>
      <c r="T17" s="10">
        <f t="shared" si="7"/>
        <v>1750</v>
      </c>
      <c r="U17" s="10">
        <f t="shared" si="7"/>
        <v>1750</v>
      </c>
      <c r="V17" s="10">
        <f t="shared" si="7"/>
        <v>1750</v>
      </c>
      <c r="W17" s="10">
        <f t="shared" si="7"/>
        <v>1750</v>
      </c>
      <c r="X17" s="10">
        <f t="shared" si="7"/>
        <v>1750</v>
      </c>
      <c r="Y17" s="10">
        <f t="shared" si="7"/>
        <v>1750</v>
      </c>
      <c r="Z17" s="1"/>
    </row>
    <row r="18">
      <c r="A18" s="16" t="s">
        <v>34</v>
      </c>
      <c r="B18" s="21">
        <f>B15*B12*B9</f>
        <v>0.09158415842</v>
      </c>
      <c r="C18" s="22">
        <v>0.08</v>
      </c>
      <c r="D18" s="22">
        <v>0.23</v>
      </c>
      <c r="E18" s="22">
        <v>0.23</v>
      </c>
      <c r="F18" s="22">
        <v>0.23</v>
      </c>
      <c r="G18" s="22">
        <v>0.23</v>
      </c>
      <c r="H18" s="22">
        <v>0.23</v>
      </c>
      <c r="I18" s="22">
        <v>0.23</v>
      </c>
      <c r="J18" s="22">
        <v>0.23</v>
      </c>
      <c r="K18" s="22">
        <v>0.23</v>
      </c>
      <c r="L18" s="22">
        <v>0.23</v>
      </c>
      <c r="M18" s="22">
        <v>0.23</v>
      </c>
      <c r="N18" s="22">
        <v>0.23</v>
      </c>
      <c r="O18" s="22">
        <v>0.23</v>
      </c>
      <c r="P18" s="21">
        <f t="shared" ref="P18:Y18" si="8">P15*P12*P9</f>
        <v>0.0625</v>
      </c>
      <c r="Q18" s="21">
        <f t="shared" si="8"/>
        <v>0.0625</v>
      </c>
      <c r="R18" s="21">
        <f t="shared" si="8"/>
        <v>0.0625</v>
      </c>
      <c r="S18" s="21">
        <f t="shared" si="8"/>
        <v>0.0625</v>
      </c>
      <c r="T18" s="21">
        <f t="shared" si="8"/>
        <v>0.0625</v>
      </c>
      <c r="U18" s="21">
        <f t="shared" si="8"/>
        <v>0.0625</v>
      </c>
      <c r="V18" s="21">
        <f t="shared" si="8"/>
        <v>0.0625</v>
      </c>
      <c r="W18" s="21">
        <f t="shared" si="8"/>
        <v>0.0625</v>
      </c>
      <c r="X18" s="21">
        <f t="shared" si="8"/>
        <v>0.0625</v>
      </c>
      <c r="Y18" s="21">
        <f t="shared" si="8"/>
        <v>0.0625</v>
      </c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 t="s">
        <v>35</v>
      </c>
      <c r="B20" s="11">
        <v>260.0</v>
      </c>
      <c r="C20" s="11">
        <v>260.0</v>
      </c>
      <c r="D20" s="11">
        <f t="shared" ref="D20:O20" si="9">280*7</f>
        <v>1960</v>
      </c>
      <c r="E20" s="11">
        <f t="shared" si="9"/>
        <v>1960</v>
      </c>
      <c r="F20" s="11">
        <f t="shared" si="9"/>
        <v>1960</v>
      </c>
      <c r="G20" s="11">
        <f t="shared" si="9"/>
        <v>1960</v>
      </c>
      <c r="H20" s="11">
        <f t="shared" si="9"/>
        <v>1960</v>
      </c>
      <c r="I20" s="11">
        <f t="shared" si="9"/>
        <v>1960</v>
      </c>
      <c r="J20" s="11">
        <f t="shared" si="9"/>
        <v>1960</v>
      </c>
      <c r="K20" s="11">
        <f t="shared" si="9"/>
        <v>1960</v>
      </c>
      <c r="L20" s="11">
        <f t="shared" si="9"/>
        <v>1960</v>
      </c>
      <c r="M20" s="11">
        <f t="shared" si="9"/>
        <v>1960</v>
      </c>
      <c r="N20" s="11">
        <f t="shared" si="9"/>
        <v>1960</v>
      </c>
      <c r="O20" s="11">
        <f t="shared" si="9"/>
        <v>1960</v>
      </c>
      <c r="P20" s="11">
        <v>30000.0</v>
      </c>
      <c r="Q20" s="11">
        <v>30000.0</v>
      </c>
      <c r="R20" s="11">
        <v>30000.0</v>
      </c>
      <c r="S20" s="11">
        <v>30000.0</v>
      </c>
      <c r="T20" s="11">
        <v>30000.0</v>
      </c>
      <c r="U20" s="11">
        <v>30000.0</v>
      </c>
      <c r="V20" s="11">
        <v>30000.0</v>
      </c>
      <c r="W20" s="11">
        <v>30000.0</v>
      </c>
      <c r="X20" s="11">
        <v>30000.0</v>
      </c>
      <c r="Y20" s="11">
        <v>30000.0</v>
      </c>
      <c r="Z20" s="1"/>
    </row>
    <row r="21">
      <c r="A21" s="23" t="s">
        <v>36</v>
      </c>
      <c r="B21" s="19">
        <v>0.6</v>
      </c>
      <c r="C21" s="19">
        <v>0.6</v>
      </c>
      <c r="D21" s="19">
        <v>0.6</v>
      </c>
      <c r="E21" s="19">
        <v>0.6</v>
      </c>
      <c r="F21" s="19">
        <v>0.6</v>
      </c>
      <c r="G21" s="19">
        <v>0.6</v>
      </c>
      <c r="H21" s="19">
        <v>0.6</v>
      </c>
      <c r="I21" s="19">
        <v>0.6</v>
      </c>
      <c r="J21" s="19">
        <v>0.6</v>
      </c>
      <c r="K21" s="19">
        <v>0.6</v>
      </c>
      <c r="L21" s="19">
        <v>0.6</v>
      </c>
      <c r="M21" s="19">
        <v>0.6</v>
      </c>
      <c r="N21" s="19">
        <v>0.6</v>
      </c>
      <c r="O21" s="19">
        <v>0.6</v>
      </c>
      <c r="P21" s="19">
        <v>0.5</v>
      </c>
      <c r="Q21" s="19">
        <v>0.5</v>
      </c>
      <c r="R21" s="19">
        <v>0.5</v>
      </c>
      <c r="S21" s="19">
        <v>0.5</v>
      </c>
      <c r="T21" s="19">
        <v>0.5</v>
      </c>
      <c r="U21" s="19">
        <v>0.5</v>
      </c>
      <c r="V21" s="19">
        <v>0.5</v>
      </c>
      <c r="W21" s="19">
        <v>0.5</v>
      </c>
      <c r="X21" s="19">
        <v>0.5</v>
      </c>
      <c r="Y21" s="19">
        <v>0.5</v>
      </c>
      <c r="Z21" s="1"/>
    </row>
    <row r="22">
      <c r="A22" s="8" t="s">
        <v>37</v>
      </c>
      <c r="B22" s="7">
        <v>105352.0</v>
      </c>
      <c r="C22" s="8">
        <f t="shared" ref="C22:Y22" si="10">C20*C16</f>
        <v>69160</v>
      </c>
      <c r="D22" s="8">
        <f t="shared" si="10"/>
        <v>166600</v>
      </c>
      <c r="E22" s="8">
        <f t="shared" si="10"/>
        <v>166600</v>
      </c>
      <c r="F22" s="8">
        <f t="shared" si="10"/>
        <v>166600</v>
      </c>
      <c r="G22" s="8">
        <f t="shared" si="10"/>
        <v>166600</v>
      </c>
      <c r="H22" s="8">
        <f t="shared" si="10"/>
        <v>166600</v>
      </c>
      <c r="I22" s="8">
        <f t="shared" si="10"/>
        <v>166600</v>
      </c>
      <c r="J22" s="8">
        <f t="shared" si="10"/>
        <v>166600</v>
      </c>
      <c r="K22" s="8">
        <f t="shared" si="10"/>
        <v>166600</v>
      </c>
      <c r="L22" s="8">
        <f t="shared" si="10"/>
        <v>166600</v>
      </c>
      <c r="M22" s="8">
        <f t="shared" si="10"/>
        <v>166600</v>
      </c>
      <c r="N22" s="8">
        <f t="shared" si="10"/>
        <v>166600</v>
      </c>
      <c r="O22" s="8">
        <f t="shared" si="10"/>
        <v>166600</v>
      </c>
      <c r="P22" s="8">
        <f t="shared" si="10"/>
        <v>60000</v>
      </c>
      <c r="Q22" s="8">
        <f t="shared" si="10"/>
        <v>60000</v>
      </c>
      <c r="R22" s="8">
        <f t="shared" si="10"/>
        <v>60000</v>
      </c>
      <c r="S22" s="8">
        <f t="shared" si="10"/>
        <v>60000</v>
      </c>
      <c r="T22" s="8">
        <f t="shared" si="10"/>
        <v>60000</v>
      </c>
      <c r="U22" s="8">
        <f t="shared" si="10"/>
        <v>60000</v>
      </c>
      <c r="V22" s="8">
        <f t="shared" si="10"/>
        <v>60000</v>
      </c>
      <c r="W22" s="8">
        <f t="shared" si="10"/>
        <v>60000</v>
      </c>
      <c r="X22" s="8">
        <f t="shared" si="10"/>
        <v>60000</v>
      </c>
      <c r="Y22" s="8">
        <f t="shared" si="10"/>
        <v>60000</v>
      </c>
      <c r="Z22" s="1"/>
    </row>
    <row r="23">
      <c r="A23" s="8" t="s">
        <v>38</v>
      </c>
      <c r="B23" s="7">
        <v>105352.0</v>
      </c>
      <c r="C23" s="8">
        <f t="shared" ref="C23:D23" si="11">C22</f>
        <v>69160</v>
      </c>
      <c r="D23" s="8">
        <f t="shared" si="11"/>
        <v>166600</v>
      </c>
      <c r="E23" s="8">
        <f t="shared" ref="E23:Y23" si="12">D23+E22</f>
        <v>333200</v>
      </c>
      <c r="F23" s="8">
        <f t="shared" si="12"/>
        <v>499800</v>
      </c>
      <c r="G23" s="8">
        <f t="shared" si="12"/>
        <v>666400</v>
      </c>
      <c r="H23" s="8">
        <f t="shared" si="12"/>
        <v>833000</v>
      </c>
      <c r="I23" s="8">
        <f t="shared" si="12"/>
        <v>999600</v>
      </c>
      <c r="J23" s="8">
        <f t="shared" si="12"/>
        <v>1166200</v>
      </c>
      <c r="K23" s="8">
        <f t="shared" si="12"/>
        <v>1332800</v>
      </c>
      <c r="L23" s="8">
        <f t="shared" si="12"/>
        <v>1499400</v>
      </c>
      <c r="M23" s="8">
        <f t="shared" si="12"/>
        <v>1666000</v>
      </c>
      <c r="N23" s="8">
        <f t="shared" si="12"/>
        <v>1832600</v>
      </c>
      <c r="O23" s="8">
        <f t="shared" si="12"/>
        <v>1999200</v>
      </c>
      <c r="P23" s="8">
        <f t="shared" si="12"/>
        <v>2059200</v>
      </c>
      <c r="Q23" s="8">
        <f t="shared" si="12"/>
        <v>2119200</v>
      </c>
      <c r="R23" s="8">
        <f t="shared" si="12"/>
        <v>2179200</v>
      </c>
      <c r="S23" s="8">
        <f t="shared" si="12"/>
        <v>2239200</v>
      </c>
      <c r="T23" s="8">
        <f t="shared" si="12"/>
        <v>2299200</v>
      </c>
      <c r="U23" s="8">
        <f t="shared" si="12"/>
        <v>2359200</v>
      </c>
      <c r="V23" s="8">
        <f t="shared" si="12"/>
        <v>2419200</v>
      </c>
      <c r="W23" s="8">
        <f t="shared" si="12"/>
        <v>2479200</v>
      </c>
      <c r="X23" s="8">
        <f t="shared" si="12"/>
        <v>2539200</v>
      </c>
      <c r="Y23" s="8">
        <f t="shared" si="12"/>
        <v>2599200</v>
      </c>
      <c r="Z23" s="1"/>
    </row>
    <row r="24">
      <c r="A24" s="8" t="s">
        <v>39</v>
      </c>
      <c r="B24" s="8">
        <f t="shared" ref="B24:Y24" si="13">B22*B21</f>
        <v>63211.2</v>
      </c>
      <c r="C24" s="8">
        <f t="shared" si="13"/>
        <v>41496</v>
      </c>
      <c r="D24" s="8">
        <f t="shared" si="13"/>
        <v>99960</v>
      </c>
      <c r="E24" s="8">
        <f t="shared" si="13"/>
        <v>99960</v>
      </c>
      <c r="F24" s="8">
        <f t="shared" si="13"/>
        <v>99960</v>
      </c>
      <c r="G24" s="8">
        <f t="shared" si="13"/>
        <v>99960</v>
      </c>
      <c r="H24" s="8">
        <f t="shared" si="13"/>
        <v>99960</v>
      </c>
      <c r="I24" s="8">
        <f t="shared" si="13"/>
        <v>99960</v>
      </c>
      <c r="J24" s="8">
        <f t="shared" si="13"/>
        <v>99960</v>
      </c>
      <c r="K24" s="8">
        <f t="shared" si="13"/>
        <v>99960</v>
      </c>
      <c r="L24" s="8">
        <f t="shared" si="13"/>
        <v>99960</v>
      </c>
      <c r="M24" s="8">
        <f t="shared" si="13"/>
        <v>99960</v>
      </c>
      <c r="N24" s="8">
        <f t="shared" si="13"/>
        <v>99960</v>
      </c>
      <c r="O24" s="8">
        <f t="shared" si="13"/>
        <v>99960</v>
      </c>
      <c r="P24" s="8">
        <f t="shared" si="13"/>
        <v>30000</v>
      </c>
      <c r="Q24" s="8">
        <f t="shared" si="13"/>
        <v>30000</v>
      </c>
      <c r="R24" s="8">
        <f t="shared" si="13"/>
        <v>30000</v>
      </c>
      <c r="S24" s="8">
        <f t="shared" si="13"/>
        <v>30000</v>
      </c>
      <c r="T24" s="8">
        <f t="shared" si="13"/>
        <v>30000</v>
      </c>
      <c r="U24" s="8">
        <f t="shared" si="13"/>
        <v>30000</v>
      </c>
      <c r="V24" s="8">
        <f t="shared" si="13"/>
        <v>30000</v>
      </c>
      <c r="W24" s="8">
        <f t="shared" si="13"/>
        <v>30000</v>
      </c>
      <c r="X24" s="8">
        <f t="shared" si="13"/>
        <v>30000</v>
      </c>
      <c r="Y24" s="8">
        <f t="shared" si="13"/>
        <v>30000</v>
      </c>
      <c r="Z24" s="1"/>
    </row>
    <row r="25">
      <c r="A25" s="8" t="s">
        <v>40</v>
      </c>
      <c r="B25" s="8">
        <f t="shared" ref="B25:Y25" si="14">B21*B23</f>
        <v>63211.2</v>
      </c>
      <c r="C25" s="8">
        <f t="shared" si="14"/>
        <v>41496</v>
      </c>
      <c r="D25" s="8">
        <f t="shared" si="14"/>
        <v>99960</v>
      </c>
      <c r="E25" s="8">
        <f t="shared" si="14"/>
        <v>199920</v>
      </c>
      <c r="F25" s="8">
        <f t="shared" si="14"/>
        <v>299880</v>
      </c>
      <c r="G25" s="8">
        <f t="shared" si="14"/>
        <v>399840</v>
      </c>
      <c r="H25" s="8">
        <f t="shared" si="14"/>
        <v>499800</v>
      </c>
      <c r="I25" s="8">
        <f t="shared" si="14"/>
        <v>599760</v>
      </c>
      <c r="J25" s="8">
        <f t="shared" si="14"/>
        <v>699720</v>
      </c>
      <c r="K25" s="8">
        <f t="shared" si="14"/>
        <v>799680</v>
      </c>
      <c r="L25" s="8">
        <f t="shared" si="14"/>
        <v>899640</v>
      </c>
      <c r="M25" s="8">
        <f t="shared" si="14"/>
        <v>999600</v>
      </c>
      <c r="N25" s="8">
        <f t="shared" si="14"/>
        <v>1099560</v>
      </c>
      <c r="O25" s="8">
        <f t="shared" si="14"/>
        <v>1199520</v>
      </c>
      <c r="P25" s="8">
        <f t="shared" si="14"/>
        <v>1029600</v>
      </c>
      <c r="Q25" s="8">
        <f t="shared" si="14"/>
        <v>1059600</v>
      </c>
      <c r="R25" s="8">
        <f t="shared" si="14"/>
        <v>1089600</v>
      </c>
      <c r="S25" s="8">
        <f t="shared" si="14"/>
        <v>1119600</v>
      </c>
      <c r="T25" s="8">
        <f t="shared" si="14"/>
        <v>1149600</v>
      </c>
      <c r="U25" s="8">
        <f t="shared" si="14"/>
        <v>1179600</v>
      </c>
      <c r="V25" s="8">
        <f t="shared" si="14"/>
        <v>1209600</v>
      </c>
      <c r="W25" s="8">
        <f t="shared" si="14"/>
        <v>1239600</v>
      </c>
      <c r="X25" s="8">
        <f t="shared" si="14"/>
        <v>1269600</v>
      </c>
      <c r="Y25" s="8">
        <f t="shared" si="14"/>
        <v>1299600</v>
      </c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8" t="s">
        <v>41</v>
      </c>
      <c r="B27" s="8">
        <f t="shared" ref="B27:Y27" si="15">B5+B6</f>
        <v>41611.69</v>
      </c>
      <c r="C27" s="8">
        <f t="shared" si="15"/>
        <v>150000</v>
      </c>
      <c r="D27" s="8">
        <f t="shared" si="15"/>
        <v>15000</v>
      </c>
      <c r="E27" s="8">
        <f t="shared" si="15"/>
        <v>15000</v>
      </c>
      <c r="F27" s="8">
        <f t="shared" si="15"/>
        <v>15000</v>
      </c>
      <c r="G27" s="8">
        <f t="shared" si="15"/>
        <v>15000</v>
      </c>
      <c r="H27" s="8">
        <f t="shared" si="15"/>
        <v>15000</v>
      </c>
      <c r="I27" s="8">
        <f t="shared" si="15"/>
        <v>15000</v>
      </c>
      <c r="J27" s="8">
        <f t="shared" si="15"/>
        <v>15000</v>
      </c>
      <c r="K27" s="8">
        <f t="shared" si="15"/>
        <v>15000</v>
      </c>
      <c r="L27" s="8">
        <f t="shared" si="15"/>
        <v>15000</v>
      </c>
      <c r="M27" s="8">
        <f t="shared" si="15"/>
        <v>15000</v>
      </c>
      <c r="N27" s="8">
        <f t="shared" si="15"/>
        <v>15000</v>
      </c>
      <c r="O27" s="8">
        <f t="shared" si="15"/>
        <v>15000</v>
      </c>
      <c r="P27" s="8">
        <f t="shared" si="15"/>
        <v>11000</v>
      </c>
      <c r="Q27" s="8">
        <f t="shared" si="15"/>
        <v>11000</v>
      </c>
      <c r="R27" s="8">
        <f t="shared" si="15"/>
        <v>11000</v>
      </c>
      <c r="S27" s="8">
        <f t="shared" si="15"/>
        <v>11000</v>
      </c>
      <c r="T27" s="8">
        <f t="shared" si="15"/>
        <v>11000</v>
      </c>
      <c r="U27" s="8">
        <f t="shared" si="15"/>
        <v>11000</v>
      </c>
      <c r="V27" s="8">
        <f t="shared" si="15"/>
        <v>11000</v>
      </c>
      <c r="W27" s="8">
        <f t="shared" si="15"/>
        <v>11000</v>
      </c>
      <c r="X27" s="8">
        <f t="shared" si="15"/>
        <v>11000</v>
      </c>
      <c r="Y27" s="8">
        <f t="shared" si="15"/>
        <v>11000</v>
      </c>
      <c r="Z27" s="1"/>
    </row>
    <row r="28">
      <c r="A28" s="7" t="s">
        <v>42</v>
      </c>
      <c r="B28" s="8"/>
      <c r="C28" s="8"/>
      <c r="D28" s="8">
        <f>D27</f>
        <v>15000</v>
      </c>
      <c r="E28" s="8">
        <f t="shared" ref="E28:Y28" si="16">D28+E27</f>
        <v>30000</v>
      </c>
      <c r="F28" s="8">
        <f t="shared" si="16"/>
        <v>45000</v>
      </c>
      <c r="G28" s="8">
        <f t="shared" si="16"/>
        <v>60000</v>
      </c>
      <c r="H28" s="8">
        <f t="shared" si="16"/>
        <v>75000</v>
      </c>
      <c r="I28" s="8">
        <f t="shared" si="16"/>
        <v>90000</v>
      </c>
      <c r="J28" s="8">
        <f t="shared" si="16"/>
        <v>105000</v>
      </c>
      <c r="K28" s="8">
        <f t="shared" si="16"/>
        <v>120000</v>
      </c>
      <c r="L28" s="8">
        <f t="shared" si="16"/>
        <v>135000</v>
      </c>
      <c r="M28" s="8">
        <f t="shared" si="16"/>
        <v>150000</v>
      </c>
      <c r="N28" s="8">
        <f t="shared" si="16"/>
        <v>165000</v>
      </c>
      <c r="O28" s="8">
        <f t="shared" si="16"/>
        <v>180000</v>
      </c>
      <c r="P28" s="8">
        <f t="shared" si="16"/>
        <v>191000</v>
      </c>
      <c r="Q28" s="8">
        <f t="shared" si="16"/>
        <v>202000</v>
      </c>
      <c r="R28" s="8">
        <f t="shared" si="16"/>
        <v>213000</v>
      </c>
      <c r="S28" s="8">
        <f t="shared" si="16"/>
        <v>224000</v>
      </c>
      <c r="T28" s="8">
        <f t="shared" si="16"/>
        <v>235000</v>
      </c>
      <c r="U28" s="8">
        <f t="shared" si="16"/>
        <v>246000</v>
      </c>
      <c r="V28" s="8">
        <f t="shared" si="16"/>
        <v>257000</v>
      </c>
      <c r="W28" s="8">
        <f t="shared" si="16"/>
        <v>268000</v>
      </c>
      <c r="X28" s="8">
        <f t="shared" si="16"/>
        <v>279000</v>
      </c>
      <c r="Y28" s="8">
        <f t="shared" si="16"/>
        <v>290000</v>
      </c>
      <c r="Z28" s="1"/>
    </row>
    <row r="29">
      <c r="A29" s="7" t="s">
        <v>43</v>
      </c>
      <c r="B29" s="8">
        <f>B25-B27</f>
        <v>21599.51</v>
      </c>
      <c r="C29" s="8">
        <f t="shared" ref="C29:O29" si="17">C25-C28-$C3</f>
        <v>-13504</v>
      </c>
      <c r="D29" s="8">
        <f t="shared" si="17"/>
        <v>29960</v>
      </c>
      <c r="E29" s="8">
        <f t="shared" si="17"/>
        <v>114920</v>
      </c>
      <c r="F29" s="8">
        <f t="shared" si="17"/>
        <v>199880</v>
      </c>
      <c r="G29" s="8">
        <f t="shared" si="17"/>
        <v>284840</v>
      </c>
      <c r="H29" s="8">
        <f t="shared" si="17"/>
        <v>369800</v>
      </c>
      <c r="I29" s="8">
        <f t="shared" si="17"/>
        <v>454760</v>
      </c>
      <c r="J29" s="8">
        <f t="shared" si="17"/>
        <v>539720</v>
      </c>
      <c r="K29" s="8">
        <f t="shared" si="17"/>
        <v>624680</v>
      </c>
      <c r="L29" s="8">
        <f t="shared" si="17"/>
        <v>709640</v>
      </c>
      <c r="M29" s="8">
        <f t="shared" si="17"/>
        <v>794600</v>
      </c>
      <c r="N29" s="8">
        <f t="shared" si="17"/>
        <v>879560</v>
      </c>
      <c r="O29" s="8">
        <f t="shared" si="17"/>
        <v>964520</v>
      </c>
      <c r="P29" s="8" t="str">
        <f t="shared" ref="P29:Y29" si="18">P25-P27-#REF!</f>
        <v>#REF!</v>
      </c>
      <c r="Q29" s="8" t="str">
        <f t="shared" si="18"/>
        <v>#REF!</v>
      </c>
      <c r="R29" s="8" t="str">
        <f t="shared" si="18"/>
        <v>#REF!</v>
      </c>
      <c r="S29" s="8" t="str">
        <f t="shared" si="18"/>
        <v>#REF!</v>
      </c>
      <c r="T29" s="8" t="str">
        <f t="shared" si="18"/>
        <v>#REF!</v>
      </c>
      <c r="U29" s="8" t="str">
        <f t="shared" si="18"/>
        <v>#REF!</v>
      </c>
      <c r="V29" s="8" t="str">
        <f t="shared" si="18"/>
        <v>#REF!</v>
      </c>
      <c r="W29" s="8" t="str">
        <f t="shared" si="18"/>
        <v>#REF!</v>
      </c>
      <c r="X29" s="8" t="str">
        <f t="shared" si="18"/>
        <v>#REF!</v>
      </c>
      <c r="Y29" s="8" t="str">
        <f t="shared" si="18"/>
        <v>#REF!</v>
      </c>
      <c r="Z29" s="1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>
      <c r="A31" s="24"/>
      <c r="B31" s="26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 ht="49.5" customHeight="1">
      <c r="A32" s="24"/>
      <c r="B32" s="26"/>
      <c r="C32" s="24"/>
      <c r="D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 ht="15.75" customHeight="1">
      <c r="A33" s="24"/>
      <c r="B33" s="24"/>
      <c r="C33" s="24"/>
      <c r="D33" s="24"/>
      <c r="G33" s="27"/>
      <c r="H33" s="27"/>
      <c r="I33" s="27"/>
      <c r="J33" s="27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8"/>
      <c r="H34" s="28"/>
      <c r="I34" s="28"/>
      <c r="J34" s="28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7"/>
      <c r="G35" s="28"/>
      <c r="H35" s="28"/>
      <c r="I35" s="28"/>
      <c r="J35" s="28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  <row r="36">
      <c r="A36" s="24"/>
      <c r="B36" s="24"/>
      <c r="C36" s="24"/>
      <c r="D36" s="24"/>
      <c r="E36" s="24"/>
      <c r="F36" s="27"/>
      <c r="G36" s="27"/>
      <c r="H36" s="27"/>
      <c r="I36" s="27"/>
      <c r="J36" s="27"/>
      <c r="K36" s="27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5"/>
    </row>
    <row r="37">
      <c r="A37" s="24"/>
      <c r="B37" s="24"/>
      <c r="C37" s="24"/>
      <c r="D37" s="24"/>
      <c r="E37" s="24"/>
      <c r="F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18.38"/>
    <col customWidth="1" min="4" max="9" width="13.5"/>
    <col customWidth="1" min="10" max="10" width="11.0"/>
    <col hidden="1" min="16" max="26" width="12.63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9" t="s">
        <v>20</v>
      </c>
      <c r="B3" s="8">
        <f t="shared" ref="B3:Y3" si="1">B4+B5</f>
        <v>41611.69</v>
      </c>
      <c r="C3" s="8">
        <f t="shared" si="1"/>
        <v>150000</v>
      </c>
      <c r="D3" s="8">
        <f t="shared" si="1"/>
        <v>12500</v>
      </c>
      <c r="E3" s="8">
        <f t="shared" si="1"/>
        <v>12500</v>
      </c>
      <c r="F3" s="8">
        <f t="shared" si="1"/>
        <v>12500</v>
      </c>
      <c r="G3" s="8">
        <f t="shared" si="1"/>
        <v>12500</v>
      </c>
      <c r="H3" s="8">
        <f t="shared" si="1"/>
        <v>12500</v>
      </c>
      <c r="I3" s="8">
        <f t="shared" si="1"/>
        <v>12500</v>
      </c>
      <c r="J3" s="8">
        <f t="shared" si="1"/>
        <v>12500</v>
      </c>
      <c r="K3" s="8">
        <f t="shared" si="1"/>
        <v>12500</v>
      </c>
      <c r="L3" s="8">
        <f t="shared" si="1"/>
        <v>12500</v>
      </c>
      <c r="M3" s="8">
        <f t="shared" si="1"/>
        <v>12500</v>
      </c>
      <c r="N3" s="8">
        <f t="shared" si="1"/>
        <v>12500</v>
      </c>
      <c r="O3" s="8">
        <f t="shared" si="1"/>
        <v>12500</v>
      </c>
      <c r="P3" s="8">
        <f t="shared" si="1"/>
        <v>11000</v>
      </c>
      <c r="Q3" s="8">
        <f t="shared" si="1"/>
        <v>11000</v>
      </c>
      <c r="R3" s="8">
        <f t="shared" si="1"/>
        <v>11000</v>
      </c>
      <c r="S3" s="8">
        <f t="shared" si="1"/>
        <v>11000</v>
      </c>
      <c r="T3" s="8">
        <f t="shared" si="1"/>
        <v>11000</v>
      </c>
      <c r="U3" s="8">
        <f t="shared" si="1"/>
        <v>11000</v>
      </c>
      <c r="V3" s="8">
        <f t="shared" si="1"/>
        <v>11000</v>
      </c>
      <c r="W3" s="8">
        <f t="shared" si="1"/>
        <v>11000</v>
      </c>
      <c r="X3" s="8">
        <f t="shared" si="1"/>
        <v>11000</v>
      </c>
      <c r="Y3" s="8">
        <f t="shared" si="1"/>
        <v>11000</v>
      </c>
      <c r="Z3" s="1"/>
    </row>
    <row r="4">
      <c r="A4" s="10" t="s">
        <v>21</v>
      </c>
      <c r="B4" s="10">
        <f>5000*4</f>
        <v>20000</v>
      </c>
      <c r="C4" s="10">
        <f>5000*12</f>
        <v>60000</v>
      </c>
      <c r="D4" s="11">
        <v>5000.0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7500.0</v>
      </c>
      <c r="Q4" s="11">
        <v>7500.0</v>
      </c>
      <c r="R4" s="11">
        <v>7500.0</v>
      </c>
      <c r="S4" s="11">
        <v>7500.0</v>
      </c>
      <c r="T4" s="11">
        <v>7500.0</v>
      </c>
      <c r="U4" s="11">
        <v>7500.0</v>
      </c>
      <c r="V4" s="11">
        <v>7500.0</v>
      </c>
      <c r="W4" s="11">
        <v>7500.0</v>
      </c>
      <c r="X4" s="11">
        <v>7500.0</v>
      </c>
      <c r="Y4" s="11">
        <v>7500.0</v>
      </c>
      <c r="Z4" s="1"/>
    </row>
    <row r="5">
      <c r="A5" s="10" t="s">
        <v>22</v>
      </c>
      <c r="B5" s="11">
        <v>21611.69</v>
      </c>
      <c r="C5" s="11">
        <v>90000.0</v>
      </c>
      <c r="D5" s="11">
        <v>7500.0</v>
      </c>
      <c r="E5" s="11">
        <v>7500.0</v>
      </c>
      <c r="F5" s="11">
        <v>7500.0</v>
      </c>
      <c r="G5" s="11">
        <v>7500.0</v>
      </c>
      <c r="H5" s="11">
        <v>7500.0</v>
      </c>
      <c r="I5" s="11">
        <v>7500.0</v>
      </c>
      <c r="J5" s="11">
        <v>7500.0</v>
      </c>
      <c r="K5" s="11">
        <v>7500.0</v>
      </c>
      <c r="L5" s="11">
        <v>7500.0</v>
      </c>
      <c r="M5" s="11">
        <v>7500.0</v>
      </c>
      <c r="N5" s="11">
        <v>7500.0</v>
      </c>
      <c r="O5" s="11">
        <v>7500.0</v>
      </c>
      <c r="P5" s="11">
        <v>3500.0</v>
      </c>
      <c r="Q5" s="11">
        <v>3500.0</v>
      </c>
      <c r="R5" s="11">
        <v>3500.0</v>
      </c>
      <c r="S5" s="11">
        <v>3500.0</v>
      </c>
      <c r="T5" s="11">
        <v>3500.0</v>
      </c>
      <c r="U5" s="11">
        <v>3500.0</v>
      </c>
      <c r="V5" s="11">
        <v>3500.0</v>
      </c>
      <c r="W5" s="11">
        <v>3500.0</v>
      </c>
      <c r="X5" s="11">
        <v>3500.0</v>
      </c>
      <c r="Y5" s="11">
        <v>3500.0</v>
      </c>
      <c r="Z5" s="1"/>
    </row>
    <row r="6">
      <c r="A6" s="9" t="s">
        <v>23</v>
      </c>
      <c r="B6" s="12">
        <v>808.0</v>
      </c>
      <c r="C6" s="13">
        <f t="shared" ref="C6:Y6" si="2">ROUNDDOWN(C5/C7,0)</f>
        <v>3333</v>
      </c>
      <c r="D6" s="13">
        <f t="shared" si="2"/>
        <v>277</v>
      </c>
      <c r="E6" s="13">
        <f t="shared" si="2"/>
        <v>277</v>
      </c>
      <c r="F6" s="13">
        <f t="shared" si="2"/>
        <v>277</v>
      </c>
      <c r="G6" s="13">
        <f t="shared" si="2"/>
        <v>277</v>
      </c>
      <c r="H6" s="13">
        <f t="shared" si="2"/>
        <v>277</v>
      </c>
      <c r="I6" s="13">
        <f t="shared" si="2"/>
        <v>277</v>
      </c>
      <c r="J6" s="13">
        <f t="shared" si="2"/>
        <v>277</v>
      </c>
      <c r="K6" s="13">
        <f t="shared" si="2"/>
        <v>277</v>
      </c>
      <c r="L6" s="13">
        <f t="shared" si="2"/>
        <v>277</v>
      </c>
      <c r="M6" s="13">
        <f t="shared" si="2"/>
        <v>277</v>
      </c>
      <c r="N6" s="13">
        <f t="shared" si="2"/>
        <v>277</v>
      </c>
      <c r="O6" s="13">
        <f t="shared" si="2"/>
        <v>277</v>
      </c>
      <c r="P6" s="13">
        <f t="shared" si="2"/>
        <v>43</v>
      </c>
      <c r="Q6" s="13">
        <f t="shared" si="2"/>
        <v>43</v>
      </c>
      <c r="R6" s="13">
        <f t="shared" si="2"/>
        <v>43</v>
      </c>
      <c r="S6" s="13">
        <f t="shared" si="2"/>
        <v>43</v>
      </c>
      <c r="T6" s="13">
        <f t="shared" si="2"/>
        <v>43</v>
      </c>
      <c r="U6" s="13">
        <f t="shared" si="2"/>
        <v>43</v>
      </c>
      <c r="V6" s="13">
        <f t="shared" si="2"/>
        <v>43</v>
      </c>
      <c r="W6" s="13">
        <f t="shared" si="2"/>
        <v>43</v>
      </c>
      <c r="X6" s="13">
        <f t="shared" si="2"/>
        <v>43</v>
      </c>
      <c r="Y6" s="13">
        <f t="shared" si="2"/>
        <v>43</v>
      </c>
      <c r="Z6" s="1"/>
    </row>
    <row r="7">
      <c r="A7" s="10" t="s">
        <v>24</v>
      </c>
      <c r="B7" s="10">
        <f>B5/B6</f>
        <v>26.74714109</v>
      </c>
      <c r="C7" s="11">
        <v>27.0</v>
      </c>
      <c r="D7" s="11">
        <v>27.0</v>
      </c>
      <c r="E7" s="11">
        <v>27.0</v>
      </c>
      <c r="F7" s="11">
        <v>27.0</v>
      </c>
      <c r="G7" s="11">
        <v>27.0</v>
      </c>
      <c r="H7" s="11">
        <v>27.0</v>
      </c>
      <c r="I7" s="11">
        <v>27.0</v>
      </c>
      <c r="J7" s="11">
        <v>27.0</v>
      </c>
      <c r="K7" s="11">
        <v>27.0</v>
      </c>
      <c r="L7" s="11">
        <v>27.0</v>
      </c>
      <c r="M7" s="11">
        <v>27.0</v>
      </c>
      <c r="N7" s="11">
        <v>27.0</v>
      </c>
      <c r="O7" s="11">
        <v>27.0</v>
      </c>
      <c r="P7" s="11">
        <v>80.0</v>
      </c>
      <c r="Q7" s="11">
        <v>80.0</v>
      </c>
      <c r="R7" s="11">
        <v>80.0</v>
      </c>
      <c r="S7" s="11">
        <v>80.0</v>
      </c>
      <c r="T7" s="11">
        <v>80.0</v>
      </c>
      <c r="U7" s="11">
        <v>80.0</v>
      </c>
      <c r="V7" s="11">
        <v>80.0</v>
      </c>
      <c r="W7" s="11">
        <v>80.0</v>
      </c>
      <c r="X7" s="11">
        <v>80.0</v>
      </c>
      <c r="Y7" s="11">
        <v>80.0</v>
      </c>
      <c r="Z7" s="1"/>
    </row>
    <row r="8" hidden="1">
      <c r="A8" s="10" t="s">
        <v>25</v>
      </c>
      <c r="B8" s="14">
        <f>B9/B6</f>
        <v>1.425742574</v>
      </c>
      <c r="C8" s="14">
        <v>1.0</v>
      </c>
      <c r="D8" s="14">
        <v>1.0</v>
      </c>
      <c r="E8" s="14">
        <v>1.0</v>
      </c>
      <c r="F8" s="14">
        <v>1.0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14">
        <v>1.0</v>
      </c>
      <c r="Q8" s="14">
        <v>1.0</v>
      </c>
      <c r="R8" s="14">
        <v>1.0</v>
      </c>
      <c r="S8" s="14">
        <v>1.0</v>
      </c>
      <c r="T8" s="14">
        <v>1.0</v>
      </c>
      <c r="U8" s="14">
        <v>1.0</v>
      </c>
      <c r="V8" s="14">
        <v>1.0</v>
      </c>
      <c r="W8" s="14">
        <v>1.0</v>
      </c>
      <c r="X8" s="14">
        <v>1.0</v>
      </c>
      <c r="Y8" s="14">
        <v>1.0</v>
      </c>
      <c r="Z8" s="1"/>
    </row>
    <row r="9" hidden="1">
      <c r="A9" s="13" t="s">
        <v>26</v>
      </c>
      <c r="B9" s="12">
        <v>1152.0</v>
      </c>
      <c r="C9" s="13">
        <f t="shared" ref="C9:Y9" si="3">ROUNDDOWN(C6*C8,0)</f>
        <v>3333</v>
      </c>
      <c r="D9" s="13">
        <f t="shared" si="3"/>
        <v>277</v>
      </c>
      <c r="E9" s="13">
        <f t="shared" si="3"/>
        <v>277</v>
      </c>
      <c r="F9" s="13">
        <f t="shared" si="3"/>
        <v>277</v>
      </c>
      <c r="G9" s="13">
        <f t="shared" si="3"/>
        <v>277</v>
      </c>
      <c r="H9" s="13">
        <f t="shared" si="3"/>
        <v>277</v>
      </c>
      <c r="I9" s="13">
        <f t="shared" si="3"/>
        <v>277</v>
      </c>
      <c r="J9" s="13">
        <f t="shared" si="3"/>
        <v>277</v>
      </c>
      <c r="K9" s="13">
        <f t="shared" si="3"/>
        <v>277</v>
      </c>
      <c r="L9" s="13">
        <f t="shared" si="3"/>
        <v>277</v>
      </c>
      <c r="M9" s="13">
        <f t="shared" si="3"/>
        <v>277</v>
      </c>
      <c r="N9" s="13">
        <f t="shared" si="3"/>
        <v>277</v>
      </c>
      <c r="O9" s="13">
        <f t="shared" si="3"/>
        <v>277</v>
      </c>
      <c r="P9" s="13">
        <f t="shared" si="3"/>
        <v>43</v>
      </c>
      <c r="Q9" s="13">
        <f t="shared" si="3"/>
        <v>43</v>
      </c>
      <c r="R9" s="13">
        <f t="shared" si="3"/>
        <v>43</v>
      </c>
      <c r="S9" s="13">
        <f t="shared" si="3"/>
        <v>43</v>
      </c>
      <c r="T9" s="13">
        <f t="shared" si="3"/>
        <v>43</v>
      </c>
      <c r="U9" s="13">
        <f t="shared" si="3"/>
        <v>43</v>
      </c>
      <c r="V9" s="13">
        <f t="shared" si="3"/>
        <v>43</v>
      </c>
      <c r="W9" s="13">
        <f t="shared" si="3"/>
        <v>43</v>
      </c>
      <c r="X9" s="13">
        <f t="shared" si="3"/>
        <v>43</v>
      </c>
      <c r="Y9" s="13">
        <f t="shared" si="3"/>
        <v>43</v>
      </c>
      <c r="Z9" s="1"/>
    </row>
    <row r="10" hidden="1">
      <c r="A10" s="10" t="s">
        <v>27</v>
      </c>
      <c r="B10" s="10">
        <f>B5/B9</f>
        <v>18.76014757</v>
      </c>
      <c r="C10" s="10">
        <v>222.91666666666666</v>
      </c>
      <c r="D10" s="10">
        <v>222.91666666666666</v>
      </c>
      <c r="E10" s="10">
        <v>222.91666666666666</v>
      </c>
      <c r="F10" s="10">
        <v>222.91666666666666</v>
      </c>
      <c r="G10" s="10">
        <v>222.91666666666666</v>
      </c>
      <c r="H10" s="10">
        <v>222.91666666666666</v>
      </c>
      <c r="I10" s="10">
        <v>222.91666666666666</v>
      </c>
      <c r="J10" s="10">
        <v>222.91666666666666</v>
      </c>
      <c r="K10" s="10">
        <v>222.91666666666666</v>
      </c>
      <c r="L10" s="10">
        <v>222.91666666666666</v>
      </c>
      <c r="M10" s="10">
        <v>222.91666666666666</v>
      </c>
      <c r="N10" s="10">
        <v>222.91666666666666</v>
      </c>
      <c r="O10" s="10">
        <v>222.91666666666666</v>
      </c>
      <c r="P10" s="10">
        <v>222.91666666666666</v>
      </c>
      <c r="Q10" s="10">
        <v>222.91666666666666</v>
      </c>
      <c r="R10" s="10">
        <v>222.91666666666666</v>
      </c>
      <c r="S10" s="10">
        <v>222.91666666666666</v>
      </c>
      <c r="T10" s="10">
        <v>222.91666666666666</v>
      </c>
      <c r="U10" s="10">
        <v>222.91666666666666</v>
      </c>
      <c r="V10" s="10">
        <v>222.91666666666666</v>
      </c>
      <c r="W10" s="10">
        <v>222.91666666666666</v>
      </c>
      <c r="X10" s="10">
        <v>222.91666666666666</v>
      </c>
      <c r="Y10" s="10">
        <v>222.91666666666666</v>
      </c>
      <c r="Z10" s="1"/>
    </row>
    <row r="11" hidden="1">
      <c r="A11" s="10" t="s">
        <v>28</v>
      </c>
      <c r="B11" s="14">
        <f>B12/B9</f>
        <v>1</v>
      </c>
      <c r="C11" s="15">
        <v>0.2</v>
      </c>
      <c r="D11" s="15">
        <v>0.17</v>
      </c>
      <c r="E11" s="15">
        <v>0.19</v>
      </c>
      <c r="F11" s="15">
        <v>0.21</v>
      </c>
      <c r="G11" s="15">
        <v>0.22</v>
      </c>
      <c r="H11" s="15">
        <v>0.23</v>
      </c>
      <c r="I11" s="15">
        <v>0.25</v>
      </c>
      <c r="J11" s="15">
        <v>0.25</v>
      </c>
      <c r="K11" s="15">
        <v>0.25</v>
      </c>
      <c r="L11" s="15">
        <v>0.25</v>
      </c>
      <c r="M11" s="15">
        <v>0.25</v>
      </c>
      <c r="N11" s="15">
        <v>0.25</v>
      </c>
      <c r="O11" s="15">
        <v>0.25</v>
      </c>
      <c r="P11" s="15">
        <v>0.25</v>
      </c>
      <c r="Q11" s="15">
        <v>0.25</v>
      </c>
      <c r="R11" s="15">
        <v>0.25</v>
      </c>
      <c r="S11" s="15">
        <v>0.25</v>
      </c>
      <c r="T11" s="15">
        <v>0.25</v>
      </c>
      <c r="U11" s="15">
        <v>0.25</v>
      </c>
      <c r="V11" s="15">
        <v>0.25</v>
      </c>
      <c r="W11" s="15">
        <v>0.25</v>
      </c>
      <c r="X11" s="15">
        <v>0.25</v>
      </c>
      <c r="Y11" s="15">
        <v>0.25</v>
      </c>
      <c r="Z11" s="1"/>
    </row>
    <row r="12" hidden="1">
      <c r="A12" s="16" t="s">
        <v>29</v>
      </c>
      <c r="B12" s="17">
        <v>1152.0</v>
      </c>
      <c r="C12" s="16">
        <f t="shared" ref="C12:Y12" si="4">ROUNDDOWN(C11*C9,0)</f>
        <v>666</v>
      </c>
      <c r="D12" s="16">
        <f t="shared" si="4"/>
        <v>47</v>
      </c>
      <c r="E12" s="16">
        <f t="shared" si="4"/>
        <v>52</v>
      </c>
      <c r="F12" s="16">
        <f t="shared" si="4"/>
        <v>58</v>
      </c>
      <c r="G12" s="16">
        <f t="shared" si="4"/>
        <v>60</v>
      </c>
      <c r="H12" s="16">
        <f t="shared" si="4"/>
        <v>63</v>
      </c>
      <c r="I12" s="16">
        <f t="shared" si="4"/>
        <v>69</v>
      </c>
      <c r="J12" s="16">
        <f t="shared" si="4"/>
        <v>69</v>
      </c>
      <c r="K12" s="16">
        <f t="shared" si="4"/>
        <v>69</v>
      </c>
      <c r="L12" s="16">
        <f t="shared" si="4"/>
        <v>69</v>
      </c>
      <c r="M12" s="16">
        <f t="shared" si="4"/>
        <v>69</v>
      </c>
      <c r="N12" s="16">
        <f t="shared" si="4"/>
        <v>69</v>
      </c>
      <c r="O12" s="16">
        <f t="shared" si="4"/>
        <v>69</v>
      </c>
      <c r="P12" s="16">
        <f t="shared" si="4"/>
        <v>10</v>
      </c>
      <c r="Q12" s="16">
        <f t="shared" si="4"/>
        <v>10</v>
      </c>
      <c r="R12" s="16">
        <f t="shared" si="4"/>
        <v>10</v>
      </c>
      <c r="S12" s="16">
        <f t="shared" si="4"/>
        <v>10</v>
      </c>
      <c r="T12" s="16">
        <f t="shared" si="4"/>
        <v>10</v>
      </c>
      <c r="U12" s="16">
        <f t="shared" si="4"/>
        <v>10</v>
      </c>
      <c r="V12" s="16">
        <f t="shared" si="4"/>
        <v>10</v>
      </c>
      <c r="W12" s="16">
        <f t="shared" si="4"/>
        <v>10</v>
      </c>
      <c r="X12" s="16">
        <f t="shared" si="4"/>
        <v>10</v>
      </c>
      <c r="Y12" s="16">
        <f t="shared" si="4"/>
        <v>10</v>
      </c>
      <c r="Z12" s="1"/>
    </row>
    <row r="13" hidden="1">
      <c r="A13" s="10" t="s">
        <v>30</v>
      </c>
      <c r="B13" s="10">
        <f>B5/B12</f>
        <v>18.76014757</v>
      </c>
      <c r="C13" s="10">
        <v>1528.5714285714287</v>
      </c>
      <c r="D13" s="10">
        <v>1528.5714285714287</v>
      </c>
      <c r="E13" s="10">
        <v>1528.5714285714287</v>
      </c>
      <c r="F13" s="10">
        <v>1528.5714285714287</v>
      </c>
      <c r="G13" s="10">
        <v>1528.5714285714287</v>
      </c>
      <c r="H13" s="10">
        <v>1528.5714285714287</v>
      </c>
      <c r="I13" s="10">
        <v>1528.5714285714287</v>
      </c>
      <c r="J13" s="10">
        <v>1528.5714285714287</v>
      </c>
      <c r="K13" s="10">
        <v>1528.5714285714287</v>
      </c>
      <c r="L13" s="10">
        <v>1528.5714285714287</v>
      </c>
      <c r="M13" s="10">
        <v>1528.5714285714287</v>
      </c>
      <c r="N13" s="10">
        <v>1528.5714285714287</v>
      </c>
      <c r="O13" s="10">
        <v>1528.5714285714287</v>
      </c>
      <c r="P13" s="10">
        <v>1528.5714285714287</v>
      </c>
      <c r="Q13" s="10">
        <v>1528.5714285714287</v>
      </c>
      <c r="R13" s="10">
        <v>1528.5714285714287</v>
      </c>
      <c r="S13" s="10">
        <v>1528.5714285714287</v>
      </c>
      <c r="T13" s="10">
        <v>1528.5714285714287</v>
      </c>
      <c r="U13" s="10">
        <v>1528.5714285714287</v>
      </c>
      <c r="V13" s="10">
        <v>1528.5714285714287</v>
      </c>
      <c r="W13" s="10">
        <v>1528.5714285714287</v>
      </c>
      <c r="X13" s="10">
        <v>1528.5714285714287</v>
      </c>
      <c r="Y13" s="10">
        <v>1528.5714285714287</v>
      </c>
      <c r="Z13" s="1"/>
    </row>
    <row r="14" hidden="1">
      <c r="A14" s="10" t="s">
        <v>31</v>
      </c>
      <c r="B14" s="18">
        <f>B15/B12</f>
        <v>0.06423611111</v>
      </c>
      <c r="C14" s="19">
        <v>0.25</v>
      </c>
      <c r="D14" s="19">
        <v>0.34</v>
      </c>
      <c r="E14" s="19">
        <v>0.34</v>
      </c>
      <c r="F14" s="19">
        <v>0.25</v>
      </c>
      <c r="G14" s="19">
        <v>0.25</v>
      </c>
      <c r="H14" s="19">
        <v>0.25</v>
      </c>
      <c r="I14" s="19">
        <v>0.25</v>
      </c>
      <c r="J14" s="19">
        <v>0.25</v>
      </c>
      <c r="K14" s="19">
        <v>0.25</v>
      </c>
      <c r="L14" s="19">
        <v>0.25</v>
      </c>
      <c r="M14" s="19">
        <v>0.25</v>
      </c>
      <c r="N14" s="19">
        <v>0.25</v>
      </c>
      <c r="O14" s="19">
        <v>0.25</v>
      </c>
      <c r="P14" s="19">
        <v>0.25</v>
      </c>
      <c r="Q14" s="19">
        <v>0.25</v>
      </c>
      <c r="R14" s="19">
        <v>0.25</v>
      </c>
      <c r="S14" s="19">
        <v>0.25</v>
      </c>
      <c r="T14" s="19">
        <v>0.25</v>
      </c>
      <c r="U14" s="19">
        <v>0.25</v>
      </c>
      <c r="V14" s="19">
        <v>0.25</v>
      </c>
      <c r="W14" s="19">
        <v>0.25</v>
      </c>
      <c r="X14" s="19">
        <v>0.25</v>
      </c>
      <c r="Y14" s="19">
        <v>0.25</v>
      </c>
      <c r="Z14" s="1"/>
    </row>
    <row r="15">
      <c r="A15" s="16" t="s">
        <v>32</v>
      </c>
      <c r="B15" s="17">
        <v>74.0</v>
      </c>
      <c r="C15" s="16">
        <f t="shared" ref="C15:O15" si="5">ROUNDDOWN(C17*C6,0)</f>
        <v>266</v>
      </c>
      <c r="D15" s="16">
        <f t="shared" si="5"/>
        <v>22</v>
      </c>
      <c r="E15" s="16">
        <f t="shared" si="5"/>
        <v>22</v>
      </c>
      <c r="F15" s="16">
        <f t="shared" si="5"/>
        <v>22</v>
      </c>
      <c r="G15" s="16">
        <f t="shared" si="5"/>
        <v>22</v>
      </c>
      <c r="H15" s="16">
        <f t="shared" si="5"/>
        <v>22</v>
      </c>
      <c r="I15" s="16">
        <f t="shared" si="5"/>
        <v>22</v>
      </c>
      <c r="J15" s="16">
        <f t="shared" si="5"/>
        <v>22</v>
      </c>
      <c r="K15" s="16">
        <f t="shared" si="5"/>
        <v>22</v>
      </c>
      <c r="L15" s="16">
        <f t="shared" si="5"/>
        <v>22</v>
      </c>
      <c r="M15" s="16">
        <f t="shared" si="5"/>
        <v>22</v>
      </c>
      <c r="N15" s="16">
        <f t="shared" si="5"/>
        <v>22</v>
      </c>
      <c r="O15" s="16">
        <f t="shared" si="5"/>
        <v>22</v>
      </c>
      <c r="P15" s="16">
        <f t="shared" ref="P15:Y15" si="6">ROUNDDOWN(P14*P12,0)</f>
        <v>2</v>
      </c>
      <c r="Q15" s="16">
        <f t="shared" si="6"/>
        <v>2</v>
      </c>
      <c r="R15" s="16">
        <f t="shared" si="6"/>
        <v>2</v>
      </c>
      <c r="S15" s="16">
        <f t="shared" si="6"/>
        <v>2</v>
      </c>
      <c r="T15" s="16">
        <f t="shared" si="6"/>
        <v>2</v>
      </c>
      <c r="U15" s="16">
        <f t="shared" si="6"/>
        <v>2</v>
      </c>
      <c r="V15" s="16">
        <f t="shared" si="6"/>
        <v>2</v>
      </c>
      <c r="W15" s="16">
        <f t="shared" si="6"/>
        <v>2</v>
      </c>
      <c r="X15" s="16">
        <f t="shared" si="6"/>
        <v>2</v>
      </c>
      <c r="Y15" s="16">
        <f t="shared" si="6"/>
        <v>2</v>
      </c>
      <c r="Z15" s="1"/>
    </row>
    <row r="16">
      <c r="A16" s="20" t="s">
        <v>33</v>
      </c>
      <c r="B16" s="10">
        <f t="shared" ref="B16:Y16" si="7">IFERROR(B5/B15,"0")</f>
        <v>292.0498649</v>
      </c>
      <c r="C16" s="10">
        <f t="shared" si="7"/>
        <v>338.3458647</v>
      </c>
      <c r="D16" s="10">
        <f t="shared" si="7"/>
        <v>340.9090909</v>
      </c>
      <c r="E16" s="10">
        <f t="shared" si="7"/>
        <v>340.9090909</v>
      </c>
      <c r="F16" s="10">
        <f t="shared" si="7"/>
        <v>340.9090909</v>
      </c>
      <c r="G16" s="10">
        <f t="shared" si="7"/>
        <v>340.9090909</v>
      </c>
      <c r="H16" s="10">
        <f t="shared" si="7"/>
        <v>340.9090909</v>
      </c>
      <c r="I16" s="10">
        <f t="shared" si="7"/>
        <v>340.9090909</v>
      </c>
      <c r="J16" s="10">
        <f t="shared" si="7"/>
        <v>340.9090909</v>
      </c>
      <c r="K16" s="10">
        <f t="shared" si="7"/>
        <v>340.9090909</v>
      </c>
      <c r="L16" s="10">
        <f t="shared" si="7"/>
        <v>340.9090909</v>
      </c>
      <c r="M16" s="10">
        <f t="shared" si="7"/>
        <v>340.9090909</v>
      </c>
      <c r="N16" s="10">
        <f t="shared" si="7"/>
        <v>340.9090909</v>
      </c>
      <c r="O16" s="10">
        <f t="shared" si="7"/>
        <v>340.9090909</v>
      </c>
      <c r="P16" s="10">
        <f t="shared" si="7"/>
        <v>1750</v>
      </c>
      <c r="Q16" s="10">
        <f t="shared" si="7"/>
        <v>1750</v>
      </c>
      <c r="R16" s="10">
        <f t="shared" si="7"/>
        <v>1750</v>
      </c>
      <c r="S16" s="10">
        <f t="shared" si="7"/>
        <v>1750</v>
      </c>
      <c r="T16" s="10">
        <f t="shared" si="7"/>
        <v>1750</v>
      </c>
      <c r="U16" s="10">
        <f t="shared" si="7"/>
        <v>1750</v>
      </c>
      <c r="V16" s="10">
        <f t="shared" si="7"/>
        <v>1750</v>
      </c>
      <c r="W16" s="10">
        <f t="shared" si="7"/>
        <v>1750</v>
      </c>
      <c r="X16" s="10">
        <f t="shared" si="7"/>
        <v>1750</v>
      </c>
      <c r="Y16" s="10">
        <f t="shared" si="7"/>
        <v>1750</v>
      </c>
      <c r="Z16" s="1"/>
    </row>
    <row r="17">
      <c r="A17" s="16" t="s">
        <v>34</v>
      </c>
      <c r="B17" s="21">
        <f>B14*B11*B8</f>
        <v>0.09158415842</v>
      </c>
      <c r="C17" s="22">
        <v>0.08</v>
      </c>
      <c r="D17" s="22">
        <v>0.08</v>
      </c>
      <c r="E17" s="22">
        <v>0.08</v>
      </c>
      <c r="F17" s="22">
        <v>0.08</v>
      </c>
      <c r="G17" s="22">
        <v>0.08</v>
      </c>
      <c r="H17" s="22">
        <v>0.08</v>
      </c>
      <c r="I17" s="22">
        <v>0.08</v>
      </c>
      <c r="J17" s="22">
        <v>0.08</v>
      </c>
      <c r="K17" s="22">
        <v>0.08</v>
      </c>
      <c r="L17" s="22">
        <v>0.08</v>
      </c>
      <c r="M17" s="22">
        <v>0.08</v>
      </c>
      <c r="N17" s="22">
        <v>0.08</v>
      </c>
      <c r="O17" s="22">
        <v>0.08</v>
      </c>
      <c r="P17" s="21">
        <f t="shared" ref="P17:Y17" si="8">P14*P11*P8</f>
        <v>0.0625</v>
      </c>
      <c r="Q17" s="21">
        <f t="shared" si="8"/>
        <v>0.0625</v>
      </c>
      <c r="R17" s="21">
        <f t="shared" si="8"/>
        <v>0.0625</v>
      </c>
      <c r="S17" s="21">
        <f t="shared" si="8"/>
        <v>0.0625</v>
      </c>
      <c r="T17" s="21">
        <f t="shared" si="8"/>
        <v>0.0625</v>
      </c>
      <c r="U17" s="21">
        <f t="shared" si="8"/>
        <v>0.0625</v>
      </c>
      <c r="V17" s="21">
        <f t="shared" si="8"/>
        <v>0.0625</v>
      </c>
      <c r="W17" s="21">
        <f t="shared" si="8"/>
        <v>0.0625</v>
      </c>
      <c r="X17" s="21">
        <f t="shared" si="8"/>
        <v>0.0625</v>
      </c>
      <c r="Y17" s="21">
        <f t="shared" si="8"/>
        <v>0.0625</v>
      </c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35</v>
      </c>
      <c r="B19" s="11">
        <v>260.0</v>
      </c>
      <c r="C19" s="11">
        <v>260.0</v>
      </c>
      <c r="D19" s="11">
        <v>260.0</v>
      </c>
      <c r="E19" s="11">
        <v>260.0</v>
      </c>
      <c r="F19" s="11">
        <v>260.0</v>
      </c>
      <c r="G19" s="11">
        <v>260.0</v>
      </c>
      <c r="H19" s="11">
        <v>260.0</v>
      </c>
      <c r="I19" s="11">
        <v>260.0</v>
      </c>
      <c r="J19" s="11">
        <v>260.0</v>
      </c>
      <c r="K19" s="11">
        <v>260.0</v>
      </c>
      <c r="L19" s="11">
        <v>260.0</v>
      </c>
      <c r="M19" s="11">
        <v>260.0</v>
      </c>
      <c r="N19" s="11">
        <v>260.0</v>
      </c>
      <c r="O19" s="11">
        <v>260.0</v>
      </c>
      <c r="P19" s="11">
        <v>30000.0</v>
      </c>
      <c r="Q19" s="11">
        <v>30000.0</v>
      </c>
      <c r="R19" s="11">
        <v>30000.0</v>
      </c>
      <c r="S19" s="11">
        <v>30000.0</v>
      </c>
      <c r="T19" s="11">
        <v>30000.0</v>
      </c>
      <c r="U19" s="11">
        <v>30000.0</v>
      </c>
      <c r="V19" s="11">
        <v>30000.0</v>
      </c>
      <c r="W19" s="11">
        <v>30000.0</v>
      </c>
      <c r="X19" s="11">
        <v>30000.0</v>
      </c>
      <c r="Y19" s="11">
        <v>30000.0</v>
      </c>
      <c r="Z19" s="1"/>
    </row>
    <row r="20">
      <c r="A20" s="23" t="s">
        <v>36</v>
      </c>
      <c r="B20" s="19">
        <v>0.6</v>
      </c>
      <c r="C20" s="19">
        <v>0.6</v>
      </c>
      <c r="D20" s="19">
        <v>0.6</v>
      </c>
      <c r="E20" s="19">
        <v>0.6</v>
      </c>
      <c r="F20" s="19">
        <v>0.6</v>
      </c>
      <c r="G20" s="19">
        <v>0.6</v>
      </c>
      <c r="H20" s="19">
        <v>0.6</v>
      </c>
      <c r="I20" s="19">
        <v>0.6</v>
      </c>
      <c r="J20" s="19">
        <v>0.6</v>
      </c>
      <c r="K20" s="19">
        <v>0.6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0.5</v>
      </c>
      <c r="R20" s="19">
        <v>0.5</v>
      </c>
      <c r="S20" s="19">
        <v>0.5</v>
      </c>
      <c r="T20" s="19">
        <v>0.5</v>
      </c>
      <c r="U20" s="19">
        <v>0.5</v>
      </c>
      <c r="V20" s="19">
        <v>0.5</v>
      </c>
      <c r="W20" s="19">
        <v>0.5</v>
      </c>
      <c r="X20" s="19">
        <v>0.5</v>
      </c>
      <c r="Y20" s="19">
        <v>0.5</v>
      </c>
      <c r="Z20" s="1"/>
    </row>
    <row r="21">
      <c r="A21" s="8" t="s">
        <v>37</v>
      </c>
      <c r="B21" s="7">
        <v>105352.0</v>
      </c>
      <c r="C21" s="8">
        <f t="shared" ref="C21:Y21" si="9">C19*C15</f>
        <v>69160</v>
      </c>
      <c r="D21" s="8">
        <f t="shared" si="9"/>
        <v>5720</v>
      </c>
      <c r="E21" s="8">
        <f t="shared" si="9"/>
        <v>5720</v>
      </c>
      <c r="F21" s="8">
        <f t="shared" si="9"/>
        <v>5720</v>
      </c>
      <c r="G21" s="8">
        <f t="shared" si="9"/>
        <v>5720</v>
      </c>
      <c r="H21" s="8">
        <f t="shared" si="9"/>
        <v>5720</v>
      </c>
      <c r="I21" s="8">
        <f t="shared" si="9"/>
        <v>5720</v>
      </c>
      <c r="J21" s="8">
        <f t="shared" si="9"/>
        <v>5720</v>
      </c>
      <c r="K21" s="8">
        <f t="shared" si="9"/>
        <v>5720</v>
      </c>
      <c r="L21" s="8">
        <f t="shared" si="9"/>
        <v>5720</v>
      </c>
      <c r="M21" s="8">
        <f t="shared" si="9"/>
        <v>5720</v>
      </c>
      <c r="N21" s="8">
        <f t="shared" si="9"/>
        <v>5720</v>
      </c>
      <c r="O21" s="8">
        <f t="shared" si="9"/>
        <v>5720</v>
      </c>
      <c r="P21" s="8">
        <f t="shared" si="9"/>
        <v>60000</v>
      </c>
      <c r="Q21" s="8">
        <f t="shared" si="9"/>
        <v>60000</v>
      </c>
      <c r="R21" s="8">
        <f t="shared" si="9"/>
        <v>60000</v>
      </c>
      <c r="S21" s="8">
        <f t="shared" si="9"/>
        <v>60000</v>
      </c>
      <c r="T21" s="8">
        <f t="shared" si="9"/>
        <v>60000</v>
      </c>
      <c r="U21" s="8">
        <f t="shared" si="9"/>
        <v>60000</v>
      </c>
      <c r="V21" s="8">
        <f t="shared" si="9"/>
        <v>60000</v>
      </c>
      <c r="W21" s="8">
        <f t="shared" si="9"/>
        <v>60000</v>
      </c>
      <c r="X21" s="8">
        <f t="shared" si="9"/>
        <v>60000</v>
      </c>
      <c r="Y21" s="8">
        <f t="shared" si="9"/>
        <v>60000</v>
      </c>
      <c r="Z21" s="1"/>
    </row>
    <row r="22">
      <c r="A22" s="8" t="s">
        <v>38</v>
      </c>
      <c r="B22" s="7">
        <v>105352.0</v>
      </c>
      <c r="C22" s="8">
        <f t="shared" ref="C22:D22" si="10">C21*9</f>
        <v>622440</v>
      </c>
      <c r="D22" s="8">
        <f t="shared" si="10"/>
        <v>51480</v>
      </c>
      <c r="E22" s="8">
        <f t="shared" ref="E22:Y22" si="11">D22+E21</f>
        <v>57200</v>
      </c>
      <c r="F22" s="8">
        <f t="shared" si="11"/>
        <v>62920</v>
      </c>
      <c r="G22" s="8">
        <f t="shared" si="11"/>
        <v>68640</v>
      </c>
      <c r="H22" s="8">
        <f t="shared" si="11"/>
        <v>74360</v>
      </c>
      <c r="I22" s="8">
        <f t="shared" si="11"/>
        <v>80080</v>
      </c>
      <c r="J22" s="8">
        <f t="shared" si="11"/>
        <v>85800</v>
      </c>
      <c r="K22" s="8">
        <f t="shared" si="11"/>
        <v>91520</v>
      </c>
      <c r="L22" s="8">
        <f t="shared" si="11"/>
        <v>97240</v>
      </c>
      <c r="M22" s="8">
        <f t="shared" si="11"/>
        <v>102960</v>
      </c>
      <c r="N22" s="8">
        <f t="shared" si="11"/>
        <v>108680</v>
      </c>
      <c r="O22" s="8">
        <f t="shared" si="11"/>
        <v>114400</v>
      </c>
      <c r="P22" s="8">
        <f t="shared" si="11"/>
        <v>174400</v>
      </c>
      <c r="Q22" s="8">
        <f t="shared" si="11"/>
        <v>234400</v>
      </c>
      <c r="R22" s="8">
        <f t="shared" si="11"/>
        <v>294400</v>
      </c>
      <c r="S22" s="8">
        <f t="shared" si="11"/>
        <v>354400</v>
      </c>
      <c r="T22" s="8">
        <f t="shared" si="11"/>
        <v>414400</v>
      </c>
      <c r="U22" s="8">
        <f t="shared" si="11"/>
        <v>474400</v>
      </c>
      <c r="V22" s="8">
        <f t="shared" si="11"/>
        <v>534400</v>
      </c>
      <c r="W22" s="8">
        <f t="shared" si="11"/>
        <v>594400</v>
      </c>
      <c r="X22" s="8">
        <f t="shared" si="11"/>
        <v>654400</v>
      </c>
      <c r="Y22" s="8">
        <f t="shared" si="11"/>
        <v>714400</v>
      </c>
      <c r="Z22" s="1"/>
    </row>
    <row r="23">
      <c r="A23" s="8" t="s">
        <v>39</v>
      </c>
      <c r="B23" s="8">
        <f t="shared" ref="B23:Y23" si="12">B21*B20</f>
        <v>63211.2</v>
      </c>
      <c r="C23" s="8">
        <f t="shared" si="12"/>
        <v>41496</v>
      </c>
      <c r="D23" s="8">
        <f t="shared" si="12"/>
        <v>3432</v>
      </c>
      <c r="E23" s="8">
        <f t="shared" si="12"/>
        <v>3432</v>
      </c>
      <c r="F23" s="8">
        <f t="shared" si="12"/>
        <v>3432</v>
      </c>
      <c r="G23" s="8">
        <f t="shared" si="12"/>
        <v>3432</v>
      </c>
      <c r="H23" s="8">
        <f t="shared" si="12"/>
        <v>3432</v>
      </c>
      <c r="I23" s="8">
        <f t="shared" si="12"/>
        <v>3432</v>
      </c>
      <c r="J23" s="8">
        <f t="shared" si="12"/>
        <v>3432</v>
      </c>
      <c r="K23" s="8">
        <f t="shared" si="12"/>
        <v>3432</v>
      </c>
      <c r="L23" s="8">
        <f t="shared" si="12"/>
        <v>3432</v>
      </c>
      <c r="M23" s="8">
        <f t="shared" si="12"/>
        <v>3432</v>
      </c>
      <c r="N23" s="8">
        <f t="shared" si="12"/>
        <v>3432</v>
      </c>
      <c r="O23" s="8">
        <f t="shared" si="12"/>
        <v>3432</v>
      </c>
      <c r="P23" s="8">
        <f t="shared" si="12"/>
        <v>30000</v>
      </c>
      <c r="Q23" s="8">
        <f t="shared" si="12"/>
        <v>30000</v>
      </c>
      <c r="R23" s="8">
        <f t="shared" si="12"/>
        <v>30000</v>
      </c>
      <c r="S23" s="8">
        <f t="shared" si="12"/>
        <v>30000</v>
      </c>
      <c r="T23" s="8">
        <f t="shared" si="12"/>
        <v>30000</v>
      </c>
      <c r="U23" s="8">
        <f t="shared" si="12"/>
        <v>30000</v>
      </c>
      <c r="V23" s="8">
        <f t="shared" si="12"/>
        <v>30000</v>
      </c>
      <c r="W23" s="8">
        <f t="shared" si="12"/>
        <v>30000</v>
      </c>
      <c r="X23" s="8">
        <f t="shared" si="12"/>
        <v>30000</v>
      </c>
      <c r="Y23" s="8">
        <f t="shared" si="12"/>
        <v>30000</v>
      </c>
      <c r="Z23" s="1"/>
    </row>
    <row r="24">
      <c r="A24" s="8" t="s">
        <v>40</v>
      </c>
      <c r="B24" s="8">
        <f t="shared" ref="B24:Y24" si="13">B20*B22</f>
        <v>63211.2</v>
      </c>
      <c r="C24" s="8">
        <f t="shared" si="13"/>
        <v>373464</v>
      </c>
      <c r="D24" s="8">
        <f t="shared" si="13"/>
        <v>30888</v>
      </c>
      <c r="E24" s="8">
        <f t="shared" si="13"/>
        <v>34320</v>
      </c>
      <c r="F24" s="8">
        <f t="shared" si="13"/>
        <v>37752</v>
      </c>
      <c r="G24" s="8">
        <f t="shared" si="13"/>
        <v>41184</v>
      </c>
      <c r="H24" s="8">
        <f t="shared" si="13"/>
        <v>44616</v>
      </c>
      <c r="I24" s="8">
        <f t="shared" si="13"/>
        <v>48048</v>
      </c>
      <c r="J24" s="8">
        <f t="shared" si="13"/>
        <v>51480</v>
      </c>
      <c r="K24" s="8">
        <f t="shared" si="13"/>
        <v>54912</v>
      </c>
      <c r="L24" s="8">
        <f t="shared" si="13"/>
        <v>58344</v>
      </c>
      <c r="M24" s="8">
        <f t="shared" si="13"/>
        <v>61776</v>
      </c>
      <c r="N24" s="8">
        <f t="shared" si="13"/>
        <v>65208</v>
      </c>
      <c r="O24" s="8">
        <f t="shared" si="13"/>
        <v>68640</v>
      </c>
      <c r="P24" s="8">
        <f t="shared" si="13"/>
        <v>87200</v>
      </c>
      <c r="Q24" s="8">
        <f t="shared" si="13"/>
        <v>117200</v>
      </c>
      <c r="R24" s="8">
        <f t="shared" si="13"/>
        <v>147200</v>
      </c>
      <c r="S24" s="8">
        <f t="shared" si="13"/>
        <v>177200</v>
      </c>
      <c r="T24" s="8">
        <f t="shared" si="13"/>
        <v>207200</v>
      </c>
      <c r="U24" s="8">
        <f t="shared" si="13"/>
        <v>237200</v>
      </c>
      <c r="V24" s="8">
        <f t="shared" si="13"/>
        <v>267200</v>
      </c>
      <c r="W24" s="8">
        <f t="shared" si="13"/>
        <v>297200</v>
      </c>
      <c r="X24" s="8">
        <f t="shared" si="13"/>
        <v>327200</v>
      </c>
      <c r="Y24" s="8">
        <f t="shared" si="13"/>
        <v>357200</v>
      </c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41</v>
      </c>
      <c r="B26" s="8">
        <f t="shared" ref="B26:Y26" si="14">B4+B5</f>
        <v>41611.69</v>
      </c>
      <c r="C26" s="8">
        <f t="shared" si="14"/>
        <v>150000</v>
      </c>
      <c r="D26" s="8">
        <f t="shared" si="14"/>
        <v>12500</v>
      </c>
      <c r="E26" s="8">
        <f t="shared" si="14"/>
        <v>12500</v>
      </c>
      <c r="F26" s="8">
        <f t="shared" si="14"/>
        <v>12500</v>
      </c>
      <c r="G26" s="8">
        <f t="shared" si="14"/>
        <v>12500</v>
      </c>
      <c r="H26" s="8">
        <f t="shared" si="14"/>
        <v>12500</v>
      </c>
      <c r="I26" s="8">
        <f t="shared" si="14"/>
        <v>12500</v>
      </c>
      <c r="J26" s="8">
        <f t="shared" si="14"/>
        <v>12500</v>
      </c>
      <c r="K26" s="8">
        <f t="shared" si="14"/>
        <v>12500</v>
      </c>
      <c r="L26" s="8">
        <f t="shared" si="14"/>
        <v>12500</v>
      </c>
      <c r="M26" s="8">
        <f t="shared" si="14"/>
        <v>12500</v>
      </c>
      <c r="N26" s="8">
        <f t="shared" si="14"/>
        <v>12500</v>
      </c>
      <c r="O26" s="8">
        <f t="shared" si="14"/>
        <v>12500</v>
      </c>
      <c r="P26" s="8">
        <f t="shared" si="14"/>
        <v>11000</v>
      </c>
      <c r="Q26" s="8">
        <f t="shared" si="14"/>
        <v>11000</v>
      </c>
      <c r="R26" s="8">
        <f t="shared" si="14"/>
        <v>11000</v>
      </c>
      <c r="S26" s="8">
        <f t="shared" si="14"/>
        <v>11000</v>
      </c>
      <c r="T26" s="8">
        <f t="shared" si="14"/>
        <v>11000</v>
      </c>
      <c r="U26" s="8">
        <f t="shared" si="14"/>
        <v>11000</v>
      </c>
      <c r="V26" s="8">
        <f t="shared" si="14"/>
        <v>11000</v>
      </c>
      <c r="W26" s="8">
        <f t="shared" si="14"/>
        <v>11000</v>
      </c>
      <c r="X26" s="8">
        <f t="shared" si="14"/>
        <v>11000</v>
      </c>
      <c r="Y26" s="8">
        <f t="shared" si="14"/>
        <v>11000</v>
      </c>
      <c r="Z26" s="1"/>
    </row>
    <row r="27">
      <c r="A27" s="7" t="s">
        <v>43</v>
      </c>
      <c r="B27" s="8">
        <f t="shared" ref="B27:O27" si="15">B24-B26</f>
        <v>21599.51</v>
      </c>
      <c r="C27" s="8">
        <f t="shared" si="15"/>
        <v>223464</v>
      </c>
      <c r="D27" s="8">
        <f t="shared" si="15"/>
        <v>18388</v>
      </c>
      <c r="E27" s="8">
        <f t="shared" si="15"/>
        <v>21820</v>
      </c>
      <c r="F27" s="8">
        <f t="shared" si="15"/>
        <v>25252</v>
      </c>
      <c r="G27" s="8">
        <f t="shared" si="15"/>
        <v>28684</v>
      </c>
      <c r="H27" s="8">
        <f t="shared" si="15"/>
        <v>32116</v>
      </c>
      <c r="I27" s="8">
        <f t="shared" si="15"/>
        <v>35548</v>
      </c>
      <c r="J27" s="8">
        <f t="shared" si="15"/>
        <v>38980</v>
      </c>
      <c r="K27" s="8">
        <f t="shared" si="15"/>
        <v>42412</v>
      </c>
      <c r="L27" s="8">
        <f t="shared" si="15"/>
        <v>45844</v>
      </c>
      <c r="M27" s="8">
        <f t="shared" si="15"/>
        <v>49276</v>
      </c>
      <c r="N27" s="8">
        <f t="shared" si="15"/>
        <v>52708</v>
      </c>
      <c r="O27" s="8">
        <f t="shared" si="15"/>
        <v>56140</v>
      </c>
      <c r="P27" s="8" t="str">
        <f t="shared" ref="P27:Y27" si="16">P24-P26-#REF!</f>
        <v>#REF!</v>
      </c>
      <c r="Q27" s="8" t="str">
        <f t="shared" si="16"/>
        <v>#REF!</v>
      </c>
      <c r="R27" s="8" t="str">
        <f t="shared" si="16"/>
        <v>#REF!</v>
      </c>
      <c r="S27" s="8" t="str">
        <f t="shared" si="16"/>
        <v>#REF!</v>
      </c>
      <c r="T27" s="8" t="str">
        <f t="shared" si="16"/>
        <v>#REF!</v>
      </c>
      <c r="U27" s="8" t="str">
        <f t="shared" si="16"/>
        <v>#REF!</v>
      </c>
      <c r="V27" s="8" t="str">
        <f t="shared" si="16"/>
        <v>#REF!</v>
      </c>
      <c r="W27" s="8" t="str">
        <f t="shared" si="16"/>
        <v>#REF!</v>
      </c>
      <c r="X27" s="8" t="str">
        <f t="shared" si="16"/>
        <v>#REF!</v>
      </c>
      <c r="Y27" s="8" t="str">
        <f t="shared" si="16"/>
        <v>#REF!</v>
      </c>
      <c r="Z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>
      <c r="A29" s="24"/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/>
    </row>
    <row r="30" ht="49.5" customHeight="1">
      <c r="A30" s="24"/>
      <c r="B30" s="26"/>
      <c r="C30" s="24"/>
      <c r="D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 ht="15.75" customHeight="1">
      <c r="A31" s="24"/>
      <c r="B31" s="24"/>
      <c r="C31" s="24"/>
      <c r="D31" s="24"/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>
      <c r="A32" s="24"/>
      <c r="B32" s="24"/>
      <c r="C32" s="24"/>
      <c r="D32" s="24"/>
      <c r="E32" s="24"/>
      <c r="F32" s="27"/>
      <c r="G32" s="28"/>
      <c r="H32" s="28"/>
      <c r="I32" s="28"/>
      <c r="J32" s="2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>
      <c r="A33" s="24"/>
      <c r="B33" s="24"/>
      <c r="C33" s="24"/>
      <c r="D33" s="24"/>
      <c r="E33" s="24"/>
      <c r="F33" s="27"/>
      <c r="G33" s="28"/>
      <c r="H33" s="28"/>
      <c r="I33" s="28"/>
      <c r="J33" s="2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18.38"/>
    <col customWidth="1" min="4" max="9" width="13.5"/>
    <col customWidth="1" min="10" max="10" width="11.0"/>
    <col hidden="1" min="16" max="26" width="12.63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9" t="s">
        <v>20</v>
      </c>
      <c r="B3" s="8">
        <f t="shared" ref="B3:Y3" si="1">B4+B5</f>
        <v>41611.69</v>
      </c>
      <c r="C3" s="8">
        <f t="shared" si="1"/>
        <v>150000</v>
      </c>
      <c r="D3" s="8">
        <f t="shared" si="1"/>
        <v>12500</v>
      </c>
      <c r="E3" s="8">
        <f t="shared" si="1"/>
        <v>12500</v>
      </c>
      <c r="F3" s="8">
        <f t="shared" si="1"/>
        <v>12500</v>
      </c>
      <c r="G3" s="8">
        <f t="shared" si="1"/>
        <v>12500</v>
      </c>
      <c r="H3" s="8">
        <f t="shared" si="1"/>
        <v>12500</v>
      </c>
      <c r="I3" s="8">
        <f t="shared" si="1"/>
        <v>12500</v>
      </c>
      <c r="J3" s="8">
        <f t="shared" si="1"/>
        <v>12500</v>
      </c>
      <c r="K3" s="8">
        <f t="shared" si="1"/>
        <v>12500</v>
      </c>
      <c r="L3" s="8">
        <f t="shared" si="1"/>
        <v>12500</v>
      </c>
      <c r="M3" s="8">
        <f t="shared" si="1"/>
        <v>12500</v>
      </c>
      <c r="N3" s="8">
        <f t="shared" si="1"/>
        <v>12500</v>
      </c>
      <c r="O3" s="8">
        <f t="shared" si="1"/>
        <v>12500</v>
      </c>
      <c r="P3" s="8">
        <f t="shared" si="1"/>
        <v>11000</v>
      </c>
      <c r="Q3" s="8">
        <f t="shared" si="1"/>
        <v>11000</v>
      </c>
      <c r="R3" s="8">
        <f t="shared" si="1"/>
        <v>11000</v>
      </c>
      <c r="S3" s="8">
        <f t="shared" si="1"/>
        <v>11000</v>
      </c>
      <c r="T3" s="8">
        <f t="shared" si="1"/>
        <v>11000</v>
      </c>
      <c r="U3" s="8">
        <f t="shared" si="1"/>
        <v>11000</v>
      </c>
      <c r="V3" s="8">
        <f t="shared" si="1"/>
        <v>11000</v>
      </c>
      <c r="W3" s="8">
        <f t="shared" si="1"/>
        <v>11000</v>
      </c>
      <c r="X3" s="8">
        <f t="shared" si="1"/>
        <v>11000</v>
      </c>
      <c r="Y3" s="8">
        <f t="shared" si="1"/>
        <v>11000</v>
      </c>
      <c r="Z3" s="1"/>
    </row>
    <row r="4">
      <c r="A4" s="10" t="s">
        <v>21</v>
      </c>
      <c r="B4" s="10">
        <f>5000*4</f>
        <v>20000</v>
      </c>
      <c r="C4" s="10">
        <f>5000*12</f>
        <v>60000</v>
      </c>
      <c r="D4" s="11">
        <v>5000.0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7500.0</v>
      </c>
      <c r="Q4" s="11">
        <v>7500.0</v>
      </c>
      <c r="R4" s="11">
        <v>7500.0</v>
      </c>
      <c r="S4" s="11">
        <v>7500.0</v>
      </c>
      <c r="T4" s="11">
        <v>7500.0</v>
      </c>
      <c r="U4" s="11">
        <v>7500.0</v>
      </c>
      <c r="V4" s="11">
        <v>7500.0</v>
      </c>
      <c r="W4" s="11">
        <v>7500.0</v>
      </c>
      <c r="X4" s="11">
        <v>7500.0</v>
      </c>
      <c r="Y4" s="11">
        <v>7500.0</v>
      </c>
      <c r="Z4" s="1"/>
    </row>
    <row r="5">
      <c r="A5" s="10" t="s">
        <v>22</v>
      </c>
      <c r="B5" s="11">
        <v>21611.69</v>
      </c>
      <c r="C5" s="11">
        <v>90000.0</v>
      </c>
      <c r="D5" s="11">
        <v>7500.0</v>
      </c>
      <c r="E5" s="11">
        <v>7500.0</v>
      </c>
      <c r="F5" s="11">
        <v>7500.0</v>
      </c>
      <c r="G5" s="11">
        <v>7500.0</v>
      </c>
      <c r="H5" s="11">
        <v>7500.0</v>
      </c>
      <c r="I5" s="11">
        <v>7500.0</v>
      </c>
      <c r="J5" s="11">
        <v>7500.0</v>
      </c>
      <c r="K5" s="11">
        <v>7500.0</v>
      </c>
      <c r="L5" s="11">
        <v>7500.0</v>
      </c>
      <c r="M5" s="11">
        <v>7500.0</v>
      </c>
      <c r="N5" s="11">
        <v>7500.0</v>
      </c>
      <c r="O5" s="11">
        <v>7500.0</v>
      </c>
      <c r="P5" s="11">
        <v>3500.0</v>
      </c>
      <c r="Q5" s="11">
        <v>3500.0</v>
      </c>
      <c r="R5" s="11">
        <v>3500.0</v>
      </c>
      <c r="S5" s="11">
        <v>3500.0</v>
      </c>
      <c r="T5" s="11">
        <v>3500.0</v>
      </c>
      <c r="U5" s="11">
        <v>3500.0</v>
      </c>
      <c r="V5" s="11">
        <v>3500.0</v>
      </c>
      <c r="W5" s="11">
        <v>3500.0</v>
      </c>
      <c r="X5" s="11">
        <v>3500.0</v>
      </c>
      <c r="Y5" s="11">
        <v>3500.0</v>
      </c>
      <c r="Z5" s="1"/>
    </row>
    <row r="6">
      <c r="A6" s="9" t="s">
        <v>23</v>
      </c>
      <c r="B6" s="12">
        <v>808.0</v>
      </c>
      <c r="C6" s="13">
        <f t="shared" ref="C6:Y6" si="2">ROUNDDOWN(C5/C7,0)</f>
        <v>4736</v>
      </c>
      <c r="D6" s="13">
        <f t="shared" si="2"/>
        <v>394</v>
      </c>
      <c r="E6" s="13">
        <f t="shared" si="2"/>
        <v>394</v>
      </c>
      <c r="F6" s="13">
        <f t="shared" si="2"/>
        <v>394</v>
      </c>
      <c r="G6" s="13">
        <f t="shared" si="2"/>
        <v>394</v>
      </c>
      <c r="H6" s="13">
        <f t="shared" si="2"/>
        <v>394</v>
      </c>
      <c r="I6" s="13">
        <f t="shared" si="2"/>
        <v>394</v>
      </c>
      <c r="J6" s="13">
        <f t="shared" si="2"/>
        <v>394</v>
      </c>
      <c r="K6" s="13">
        <f t="shared" si="2"/>
        <v>394</v>
      </c>
      <c r="L6" s="13">
        <f t="shared" si="2"/>
        <v>394</v>
      </c>
      <c r="M6" s="13">
        <f t="shared" si="2"/>
        <v>394</v>
      </c>
      <c r="N6" s="13">
        <f t="shared" si="2"/>
        <v>394</v>
      </c>
      <c r="O6" s="13">
        <f t="shared" si="2"/>
        <v>394</v>
      </c>
      <c r="P6" s="13">
        <f t="shared" si="2"/>
        <v>43</v>
      </c>
      <c r="Q6" s="13">
        <f t="shared" si="2"/>
        <v>43</v>
      </c>
      <c r="R6" s="13">
        <f t="shared" si="2"/>
        <v>43</v>
      </c>
      <c r="S6" s="13">
        <f t="shared" si="2"/>
        <v>43</v>
      </c>
      <c r="T6" s="13">
        <f t="shared" si="2"/>
        <v>43</v>
      </c>
      <c r="U6" s="13">
        <f t="shared" si="2"/>
        <v>43</v>
      </c>
      <c r="V6" s="13">
        <f t="shared" si="2"/>
        <v>43</v>
      </c>
      <c r="W6" s="13">
        <f t="shared" si="2"/>
        <v>43</v>
      </c>
      <c r="X6" s="13">
        <f t="shared" si="2"/>
        <v>43</v>
      </c>
      <c r="Y6" s="13">
        <f t="shared" si="2"/>
        <v>43</v>
      </c>
      <c r="Z6" s="1"/>
    </row>
    <row r="7">
      <c r="A7" s="10" t="s">
        <v>24</v>
      </c>
      <c r="B7" s="10">
        <f>B5/B6</f>
        <v>26.74714109</v>
      </c>
      <c r="C7" s="11">
        <v>19.0</v>
      </c>
      <c r="D7" s="11">
        <v>19.0</v>
      </c>
      <c r="E7" s="11">
        <v>19.0</v>
      </c>
      <c r="F7" s="11">
        <v>19.0</v>
      </c>
      <c r="G7" s="11">
        <v>19.0</v>
      </c>
      <c r="H7" s="11">
        <v>19.0</v>
      </c>
      <c r="I7" s="11">
        <v>19.0</v>
      </c>
      <c r="J7" s="11">
        <v>19.0</v>
      </c>
      <c r="K7" s="11">
        <v>19.0</v>
      </c>
      <c r="L7" s="11">
        <v>19.0</v>
      </c>
      <c r="M7" s="11">
        <v>19.0</v>
      </c>
      <c r="N7" s="11">
        <v>19.0</v>
      </c>
      <c r="O7" s="11">
        <v>19.0</v>
      </c>
      <c r="P7" s="11">
        <v>80.0</v>
      </c>
      <c r="Q7" s="11">
        <v>80.0</v>
      </c>
      <c r="R7" s="11">
        <v>80.0</v>
      </c>
      <c r="S7" s="11">
        <v>80.0</v>
      </c>
      <c r="T7" s="11">
        <v>80.0</v>
      </c>
      <c r="U7" s="11">
        <v>80.0</v>
      </c>
      <c r="V7" s="11">
        <v>80.0</v>
      </c>
      <c r="W7" s="11">
        <v>80.0</v>
      </c>
      <c r="X7" s="11">
        <v>80.0</v>
      </c>
      <c r="Y7" s="11">
        <v>80.0</v>
      </c>
      <c r="Z7" s="1"/>
    </row>
    <row r="8" hidden="1">
      <c r="A8" s="10" t="s">
        <v>25</v>
      </c>
      <c r="B8" s="14">
        <f>B9/B6</f>
        <v>1.425742574</v>
      </c>
      <c r="C8" s="14">
        <v>1.0</v>
      </c>
      <c r="D8" s="14">
        <v>1.0</v>
      </c>
      <c r="E8" s="14">
        <v>1.0</v>
      </c>
      <c r="F8" s="14">
        <v>1.0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14">
        <v>1.0</v>
      </c>
      <c r="Q8" s="14">
        <v>1.0</v>
      </c>
      <c r="R8" s="14">
        <v>1.0</v>
      </c>
      <c r="S8" s="14">
        <v>1.0</v>
      </c>
      <c r="T8" s="14">
        <v>1.0</v>
      </c>
      <c r="U8" s="14">
        <v>1.0</v>
      </c>
      <c r="V8" s="14">
        <v>1.0</v>
      </c>
      <c r="W8" s="14">
        <v>1.0</v>
      </c>
      <c r="X8" s="14">
        <v>1.0</v>
      </c>
      <c r="Y8" s="14">
        <v>1.0</v>
      </c>
      <c r="Z8" s="1"/>
    </row>
    <row r="9" hidden="1">
      <c r="A9" s="13" t="s">
        <v>26</v>
      </c>
      <c r="B9" s="12">
        <v>1152.0</v>
      </c>
      <c r="C9" s="13">
        <f t="shared" ref="C9:Y9" si="3">ROUNDDOWN(C6*C8,0)</f>
        <v>4736</v>
      </c>
      <c r="D9" s="13">
        <f t="shared" si="3"/>
        <v>394</v>
      </c>
      <c r="E9" s="13">
        <f t="shared" si="3"/>
        <v>394</v>
      </c>
      <c r="F9" s="13">
        <f t="shared" si="3"/>
        <v>394</v>
      </c>
      <c r="G9" s="13">
        <f t="shared" si="3"/>
        <v>394</v>
      </c>
      <c r="H9" s="13">
        <f t="shared" si="3"/>
        <v>394</v>
      </c>
      <c r="I9" s="13">
        <f t="shared" si="3"/>
        <v>394</v>
      </c>
      <c r="J9" s="13">
        <f t="shared" si="3"/>
        <v>394</v>
      </c>
      <c r="K9" s="13">
        <f t="shared" si="3"/>
        <v>394</v>
      </c>
      <c r="L9" s="13">
        <f t="shared" si="3"/>
        <v>394</v>
      </c>
      <c r="M9" s="13">
        <f t="shared" si="3"/>
        <v>394</v>
      </c>
      <c r="N9" s="13">
        <f t="shared" si="3"/>
        <v>394</v>
      </c>
      <c r="O9" s="13">
        <f t="shared" si="3"/>
        <v>394</v>
      </c>
      <c r="P9" s="13">
        <f t="shared" si="3"/>
        <v>43</v>
      </c>
      <c r="Q9" s="13">
        <f t="shared" si="3"/>
        <v>43</v>
      </c>
      <c r="R9" s="13">
        <f t="shared" si="3"/>
        <v>43</v>
      </c>
      <c r="S9" s="13">
        <f t="shared" si="3"/>
        <v>43</v>
      </c>
      <c r="T9" s="13">
        <f t="shared" si="3"/>
        <v>43</v>
      </c>
      <c r="U9" s="13">
        <f t="shared" si="3"/>
        <v>43</v>
      </c>
      <c r="V9" s="13">
        <f t="shared" si="3"/>
        <v>43</v>
      </c>
      <c r="W9" s="13">
        <f t="shared" si="3"/>
        <v>43</v>
      </c>
      <c r="X9" s="13">
        <f t="shared" si="3"/>
        <v>43</v>
      </c>
      <c r="Y9" s="13">
        <f t="shared" si="3"/>
        <v>43</v>
      </c>
      <c r="Z9" s="1"/>
    </row>
    <row r="10" hidden="1">
      <c r="A10" s="10" t="s">
        <v>27</v>
      </c>
      <c r="B10" s="10">
        <f>B5/B9</f>
        <v>18.76014757</v>
      </c>
      <c r="C10" s="10">
        <v>222.91666666666666</v>
      </c>
      <c r="D10" s="10">
        <v>222.91666666666666</v>
      </c>
      <c r="E10" s="10">
        <v>222.91666666666666</v>
      </c>
      <c r="F10" s="10">
        <v>222.91666666666666</v>
      </c>
      <c r="G10" s="10">
        <v>222.91666666666666</v>
      </c>
      <c r="H10" s="10">
        <v>222.91666666666666</v>
      </c>
      <c r="I10" s="10">
        <v>222.91666666666666</v>
      </c>
      <c r="J10" s="10">
        <v>222.91666666666666</v>
      </c>
      <c r="K10" s="10">
        <v>222.91666666666666</v>
      </c>
      <c r="L10" s="10">
        <v>222.91666666666666</v>
      </c>
      <c r="M10" s="10">
        <v>222.91666666666666</v>
      </c>
      <c r="N10" s="10">
        <v>222.91666666666666</v>
      </c>
      <c r="O10" s="10">
        <v>222.91666666666666</v>
      </c>
      <c r="P10" s="10">
        <v>222.91666666666666</v>
      </c>
      <c r="Q10" s="10">
        <v>222.91666666666666</v>
      </c>
      <c r="R10" s="10">
        <v>222.91666666666666</v>
      </c>
      <c r="S10" s="10">
        <v>222.91666666666666</v>
      </c>
      <c r="T10" s="10">
        <v>222.91666666666666</v>
      </c>
      <c r="U10" s="10">
        <v>222.91666666666666</v>
      </c>
      <c r="V10" s="10">
        <v>222.91666666666666</v>
      </c>
      <c r="W10" s="10">
        <v>222.91666666666666</v>
      </c>
      <c r="X10" s="10">
        <v>222.91666666666666</v>
      </c>
      <c r="Y10" s="10">
        <v>222.91666666666666</v>
      </c>
      <c r="Z10" s="1"/>
    </row>
    <row r="11" hidden="1">
      <c r="A11" s="10" t="s">
        <v>28</v>
      </c>
      <c r="B11" s="14">
        <f>B12/B9</f>
        <v>1</v>
      </c>
      <c r="C11" s="15">
        <v>0.2</v>
      </c>
      <c r="D11" s="15">
        <v>0.17</v>
      </c>
      <c r="E11" s="15">
        <v>0.19</v>
      </c>
      <c r="F11" s="15">
        <v>0.21</v>
      </c>
      <c r="G11" s="15">
        <v>0.22</v>
      </c>
      <c r="H11" s="15">
        <v>0.23</v>
      </c>
      <c r="I11" s="15">
        <v>0.25</v>
      </c>
      <c r="J11" s="15">
        <v>0.25</v>
      </c>
      <c r="K11" s="15">
        <v>0.25</v>
      </c>
      <c r="L11" s="15">
        <v>0.25</v>
      </c>
      <c r="M11" s="15">
        <v>0.25</v>
      </c>
      <c r="N11" s="15">
        <v>0.25</v>
      </c>
      <c r="O11" s="15">
        <v>0.25</v>
      </c>
      <c r="P11" s="15">
        <v>0.25</v>
      </c>
      <c r="Q11" s="15">
        <v>0.25</v>
      </c>
      <c r="R11" s="15">
        <v>0.25</v>
      </c>
      <c r="S11" s="15">
        <v>0.25</v>
      </c>
      <c r="T11" s="15">
        <v>0.25</v>
      </c>
      <c r="U11" s="15">
        <v>0.25</v>
      </c>
      <c r="V11" s="15">
        <v>0.25</v>
      </c>
      <c r="W11" s="15">
        <v>0.25</v>
      </c>
      <c r="X11" s="15">
        <v>0.25</v>
      </c>
      <c r="Y11" s="15">
        <v>0.25</v>
      </c>
      <c r="Z11" s="1"/>
    </row>
    <row r="12" hidden="1">
      <c r="A12" s="16" t="s">
        <v>29</v>
      </c>
      <c r="B12" s="17">
        <v>1152.0</v>
      </c>
      <c r="C12" s="16">
        <f t="shared" ref="C12:Y12" si="4">ROUNDDOWN(C11*C9,0)</f>
        <v>947</v>
      </c>
      <c r="D12" s="16">
        <f t="shared" si="4"/>
        <v>66</v>
      </c>
      <c r="E12" s="16">
        <f t="shared" si="4"/>
        <v>74</v>
      </c>
      <c r="F12" s="16">
        <f t="shared" si="4"/>
        <v>82</v>
      </c>
      <c r="G12" s="16">
        <f t="shared" si="4"/>
        <v>86</v>
      </c>
      <c r="H12" s="16">
        <f t="shared" si="4"/>
        <v>90</v>
      </c>
      <c r="I12" s="16">
        <f t="shared" si="4"/>
        <v>98</v>
      </c>
      <c r="J12" s="16">
        <f t="shared" si="4"/>
        <v>98</v>
      </c>
      <c r="K12" s="16">
        <f t="shared" si="4"/>
        <v>98</v>
      </c>
      <c r="L12" s="16">
        <f t="shared" si="4"/>
        <v>98</v>
      </c>
      <c r="M12" s="16">
        <f t="shared" si="4"/>
        <v>98</v>
      </c>
      <c r="N12" s="16">
        <f t="shared" si="4"/>
        <v>98</v>
      </c>
      <c r="O12" s="16">
        <f t="shared" si="4"/>
        <v>98</v>
      </c>
      <c r="P12" s="16">
        <f t="shared" si="4"/>
        <v>10</v>
      </c>
      <c r="Q12" s="16">
        <f t="shared" si="4"/>
        <v>10</v>
      </c>
      <c r="R12" s="16">
        <f t="shared" si="4"/>
        <v>10</v>
      </c>
      <c r="S12" s="16">
        <f t="shared" si="4"/>
        <v>10</v>
      </c>
      <c r="T12" s="16">
        <f t="shared" si="4"/>
        <v>10</v>
      </c>
      <c r="U12" s="16">
        <f t="shared" si="4"/>
        <v>10</v>
      </c>
      <c r="V12" s="16">
        <f t="shared" si="4"/>
        <v>10</v>
      </c>
      <c r="W12" s="16">
        <f t="shared" si="4"/>
        <v>10</v>
      </c>
      <c r="X12" s="16">
        <f t="shared" si="4"/>
        <v>10</v>
      </c>
      <c r="Y12" s="16">
        <f t="shared" si="4"/>
        <v>10</v>
      </c>
      <c r="Z12" s="1"/>
    </row>
    <row r="13" hidden="1">
      <c r="A13" s="10" t="s">
        <v>30</v>
      </c>
      <c r="B13" s="10">
        <f>B5/B12</f>
        <v>18.76014757</v>
      </c>
      <c r="C13" s="10">
        <v>1528.5714285714287</v>
      </c>
      <c r="D13" s="10">
        <v>1528.5714285714287</v>
      </c>
      <c r="E13" s="10">
        <v>1528.5714285714287</v>
      </c>
      <c r="F13" s="10">
        <v>1528.5714285714287</v>
      </c>
      <c r="G13" s="10">
        <v>1528.5714285714287</v>
      </c>
      <c r="H13" s="10">
        <v>1528.5714285714287</v>
      </c>
      <c r="I13" s="10">
        <v>1528.5714285714287</v>
      </c>
      <c r="J13" s="10">
        <v>1528.5714285714287</v>
      </c>
      <c r="K13" s="10">
        <v>1528.5714285714287</v>
      </c>
      <c r="L13" s="10">
        <v>1528.5714285714287</v>
      </c>
      <c r="M13" s="10">
        <v>1528.5714285714287</v>
      </c>
      <c r="N13" s="10">
        <v>1528.5714285714287</v>
      </c>
      <c r="O13" s="10">
        <v>1528.5714285714287</v>
      </c>
      <c r="P13" s="10">
        <v>1528.5714285714287</v>
      </c>
      <c r="Q13" s="10">
        <v>1528.5714285714287</v>
      </c>
      <c r="R13" s="10">
        <v>1528.5714285714287</v>
      </c>
      <c r="S13" s="10">
        <v>1528.5714285714287</v>
      </c>
      <c r="T13" s="10">
        <v>1528.5714285714287</v>
      </c>
      <c r="U13" s="10">
        <v>1528.5714285714287</v>
      </c>
      <c r="V13" s="10">
        <v>1528.5714285714287</v>
      </c>
      <c r="W13" s="10">
        <v>1528.5714285714287</v>
      </c>
      <c r="X13" s="10">
        <v>1528.5714285714287</v>
      </c>
      <c r="Y13" s="10">
        <v>1528.5714285714287</v>
      </c>
      <c r="Z13" s="1"/>
    </row>
    <row r="14" hidden="1">
      <c r="A14" s="10" t="s">
        <v>31</v>
      </c>
      <c r="B14" s="18">
        <f>B15/B12</f>
        <v>0.06423611111</v>
      </c>
      <c r="C14" s="19">
        <v>0.25</v>
      </c>
      <c r="D14" s="19">
        <v>0.34</v>
      </c>
      <c r="E14" s="19">
        <v>0.34</v>
      </c>
      <c r="F14" s="19">
        <v>0.25</v>
      </c>
      <c r="G14" s="19">
        <v>0.25</v>
      </c>
      <c r="H14" s="19">
        <v>0.25</v>
      </c>
      <c r="I14" s="19">
        <v>0.25</v>
      </c>
      <c r="J14" s="19">
        <v>0.25</v>
      </c>
      <c r="K14" s="19">
        <v>0.25</v>
      </c>
      <c r="L14" s="19">
        <v>0.25</v>
      </c>
      <c r="M14" s="19">
        <v>0.25</v>
      </c>
      <c r="N14" s="19">
        <v>0.25</v>
      </c>
      <c r="O14" s="19">
        <v>0.25</v>
      </c>
      <c r="P14" s="19">
        <v>0.25</v>
      </c>
      <c r="Q14" s="19">
        <v>0.25</v>
      </c>
      <c r="R14" s="19">
        <v>0.25</v>
      </c>
      <c r="S14" s="19">
        <v>0.25</v>
      </c>
      <c r="T14" s="19">
        <v>0.25</v>
      </c>
      <c r="U14" s="19">
        <v>0.25</v>
      </c>
      <c r="V14" s="19">
        <v>0.25</v>
      </c>
      <c r="W14" s="19">
        <v>0.25</v>
      </c>
      <c r="X14" s="19">
        <v>0.25</v>
      </c>
      <c r="Y14" s="19">
        <v>0.25</v>
      </c>
      <c r="Z14" s="1"/>
    </row>
    <row r="15">
      <c r="A15" s="16" t="s">
        <v>32</v>
      </c>
      <c r="B15" s="17">
        <v>74.0</v>
      </c>
      <c r="C15" s="16">
        <f t="shared" ref="C15:O15" si="5">ROUNDDOWN(C17*C6,0)</f>
        <v>378</v>
      </c>
      <c r="D15" s="16">
        <f t="shared" si="5"/>
        <v>31</v>
      </c>
      <c r="E15" s="16">
        <f t="shared" si="5"/>
        <v>31</v>
      </c>
      <c r="F15" s="16">
        <f t="shared" si="5"/>
        <v>31</v>
      </c>
      <c r="G15" s="16">
        <f t="shared" si="5"/>
        <v>31</v>
      </c>
      <c r="H15" s="16">
        <f t="shared" si="5"/>
        <v>31</v>
      </c>
      <c r="I15" s="16">
        <f t="shared" si="5"/>
        <v>31</v>
      </c>
      <c r="J15" s="16">
        <f t="shared" si="5"/>
        <v>31</v>
      </c>
      <c r="K15" s="16">
        <f t="shared" si="5"/>
        <v>31</v>
      </c>
      <c r="L15" s="16">
        <f t="shared" si="5"/>
        <v>31</v>
      </c>
      <c r="M15" s="16">
        <f t="shared" si="5"/>
        <v>31</v>
      </c>
      <c r="N15" s="16">
        <f t="shared" si="5"/>
        <v>31</v>
      </c>
      <c r="O15" s="16">
        <f t="shared" si="5"/>
        <v>31</v>
      </c>
      <c r="P15" s="16">
        <f t="shared" ref="P15:Y15" si="6">ROUNDDOWN(P14*P12,0)</f>
        <v>2</v>
      </c>
      <c r="Q15" s="16">
        <f t="shared" si="6"/>
        <v>2</v>
      </c>
      <c r="R15" s="16">
        <f t="shared" si="6"/>
        <v>2</v>
      </c>
      <c r="S15" s="16">
        <f t="shared" si="6"/>
        <v>2</v>
      </c>
      <c r="T15" s="16">
        <f t="shared" si="6"/>
        <v>2</v>
      </c>
      <c r="U15" s="16">
        <f t="shared" si="6"/>
        <v>2</v>
      </c>
      <c r="V15" s="16">
        <f t="shared" si="6"/>
        <v>2</v>
      </c>
      <c r="W15" s="16">
        <f t="shared" si="6"/>
        <v>2</v>
      </c>
      <c r="X15" s="16">
        <f t="shared" si="6"/>
        <v>2</v>
      </c>
      <c r="Y15" s="16">
        <f t="shared" si="6"/>
        <v>2</v>
      </c>
      <c r="Z15" s="1"/>
    </row>
    <row r="16">
      <c r="A16" s="20" t="s">
        <v>33</v>
      </c>
      <c r="B16" s="10">
        <f t="shared" ref="B16:Y16" si="7">IFERROR(B5/B15,"0")</f>
        <v>292.0498649</v>
      </c>
      <c r="C16" s="10">
        <f t="shared" si="7"/>
        <v>238.0952381</v>
      </c>
      <c r="D16" s="10">
        <f t="shared" si="7"/>
        <v>241.9354839</v>
      </c>
      <c r="E16" s="10">
        <f t="shared" si="7"/>
        <v>241.9354839</v>
      </c>
      <c r="F16" s="10">
        <f t="shared" si="7"/>
        <v>241.9354839</v>
      </c>
      <c r="G16" s="10">
        <f t="shared" si="7"/>
        <v>241.9354839</v>
      </c>
      <c r="H16" s="10">
        <f t="shared" si="7"/>
        <v>241.9354839</v>
      </c>
      <c r="I16" s="10">
        <f t="shared" si="7"/>
        <v>241.9354839</v>
      </c>
      <c r="J16" s="10">
        <f t="shared" si="7"/>
        <v>241.9354839</v>
      </c>
      <c r="K16" s="10">
        <f t="shared" si="7"/>
        <v>241.9354839</v>
      </c>
      <c r="L16" s="10">
        <f t="shared" si="7"/>
        <v>241.9354839</v>
      </c>
      <c r="M16" s="10">
        <f t="shared" si="7"/>
        <v>241.9354839</v>
      </c>
      <c r="N16" s="10">
        <f t="shared" si="7"/>
        <v>241.9354839</v>
      </c>
      <c r="O16" s="10">
        <f t="shared" si="7"/>
        <v>241.9354839</v>
      </c>
      <c r="P16" s="10">
        <f t="shared" si="7"/>
        <v>1750</v>
      </c>
      <c r="Q16" s="10">
        <f t="shared" si="7"/>
        <v>1750</v>
      </c>
      <c r="R16" s="10">
        <f t="shared" si="7"/>
        <v>1750</v>
      </c>
      <c r="S16" s="10">
        <f t="shared" si="7"/>
        <v>1750</v>
      </c>
      <c r="T16" s="10">
        <f t="shared" si="7"/>
        <v>1750</v>
      </c>
      <c r="U16" s="10">
        <f t="shared" si="7"/>
        <v>1750</v>
      </c>
      <c r="V16" s="10">
        <f t="shared" si="7"/>
        <v>1750</v>
      </c>
      <c r="W16" s="10">
        <f t="shared" si="7"/>
        <v>1750</v>
      </c>
      <c r="X16" s="10">
        <f t="shared" si="7"/>
        <v>1750</v>
      </c>
      <c r="Y16" s="10">
        <f t="shared" si="7"/>
        <v>1750</v>
      </c>
      <c r="Z16" s="1"/>
    </row>
    <row r="17">
      <c r="A17" s="16" t="s">
        <v>34</v>
      </c>
      <c r="B17" s="21">
        <f>B14*B11*B8</f>
        <v>0.09158415842</v>
      </c>
      <c r="C17" s="22">
        <v>0.08</v>
      </c>
      <c r="D17" s="22">
        <v>0.08</v>
      </c>
      <c r="E17" s="22">
        <v>0.08</v>
      </c>
      <c r="F17" s="22">
        <v>0.08</v>
      </c>
      <c r="G17" s="22">
        <v>0.08</v>
      </c>
      <c r="H17" s="22">
        <v>0.08</v>
      </c>
      <c r="I17" s="22">
        <v>0.08</v>
      </c>
      <c r="J17" s="22">
        <v>0.08</v>
      </c>
      <c r="K17" s="22">
        <v>0.08</v>
      </c>
      <c r="L17" s="22">
        <v>0.08</v>
      </c>
      <c r="M17" s="22">
        <v>0.08</v>
      </c>
      <c r="N17" s="22">
        <v>0.08</v>
      </c>
      <c r="O17" s="22">
        <v>0.08</v>
      </c>
      <c r="P17" s="21">
        <f t="shared" ref="P17:Y17" si="8">P14*P11*P8</f>
        <v>0.0625</v>
      </c>
      <c r="Q17" s="21">
        <f t="shared" si="8"/>
        <v>0.0625</v>
      </c>
      <c r="R17" s="21">
        <f t="shared" si="8"/>
        <v>0.0625</v>
      </c>
      <c r="S17" s="21">
        <f t="shared" si="8"/>
        <v>0.0625</v>
      </c>
      <c r="T17" s="21">
        <f t="shared" si="8"/>
        <v>0.0625</v>
      </c>
      <c r="U17" s="21">
        <f t="shared" si="8"/>
        <v>0.0625</v>
      </c>
      <c r="V17" s="21">
        <f t="shared" si="8"/>
        <v>0.0625</v>
      </c>
      <c r="W17" s="21">
        <f t="shared" si="8"/>
        <v>0.0625</v>
      </c>
      <c r="X17" s="21">
        <f t="shared" si="8"/>
        <v>0.0625</v>
      </c>
      <c r="Y17" s="21">
        <f t="shared" si="8"/>
        <v>0.0625</v>
      </c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35</v>
      </c>
      <c r="B19" s="11">
        <v>260.0</v>
      </c>
      <c r="C19" s="11">
        <v>260.0</v>
      </c>
      <c r="D19" s="11">
        <v>260.0</v>
      </c>
      <c r="E19" s="11">
        <v>260.0</v>
      </c>
      <c r="F19" s="11">
        <v>260.0</v>
      </c>
      <c r="G19" s="11">
        <v>260.0</v>
      </c>
      <c r="H19" s="11">
        <v>260.0</v>
      </c>
      <c r="I19" s="11">
        <v>260.0</v>
      </c>
      <c r="J19" s="11">
        <v>260.0</v>
      </c>
      <c r="K19" s="11">
        <v>260.0</v>
      </c>
      <c r="L19" s="11">
        <v>260.0</v>
      </c>
      <c r="M19" s="11">
        <v>260.0</v>
      </c>
      <c r="N19" s="11">
        <v>260.0</v>
      </c>
      <c r="O19" s="11">
        <v>260.0</v>
      </c>
      <c r="P19" s="11">
        <v>30000.0</v>
      </c>
      <c r="Q19" s="11">
        <v>30000.0</v>
      </c>
      <c r="R19" s="11">
        <v>30000.0</v>
      </c>
      <c r="S19" s="11">
        <v>30000.0</v>
      </c>
      <c r="T19" s="11">
        <v>30000.0</v>
      </c>
      <c r="U19" s="11">
        <v>30000.0</v>
      </c>
      <c r="V19" s="11">
        <v>30000.0</v>
      </c>
      <c r="W19" s="11">
        <v>30000.0</v>
      </c>
      <c r="X19" s="11">
        <v>30000.0</v>
      </c>
      <c r="Y19" s="11">
        <v>30000.0</v>
      </c>
      <c r="Z19" s="1"/>
    </row>
    <row r="20">
      <c r="A20" s="23" t="s">
        <v>36</v>
      </c>
      <c r="B20" s="19">
        <v>0.6</v>
      </c>
      <c r="C20" s="19">
        <v>0.6</v>
      </c>
      <c r="D20" s="19">
        <v>0.6</v>
      </c>
      <c r="E20" s="19">
        <v>0.6</v>
      </c>
      <c r="F20" s="19">
        <v>0.6</v>
      </c>
      <c r="G20" s="19">
        <v>0.6</v>
      </c>
      <c r="H20" s="19">
        <v>0.6</v>
      </c>
      <c r="I20" s="19">
        <v>0.6</v>
      </c>
      <c r="J20" s="19">
        <v>0.6</v>
      </c>
      <c r="K20" s="19">
        <v>0.6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0.5</v>
      </c>
      <c r="R20" s="19">
        <v>0.5</v>
      </c>
      <c r="S20" s="19">
        <v>0.5</v>
      </c>
      <c r="T20" s="19">
        <v>0.5</v>
      </c>
      <c r="U20" s="19">
        <v>0.5</v>
      </c>
      <c r="V20" s="19">
        <v>0.5</v>
      </c>
      <c r="W20" s="19">
        <v>0.5</v>
      </c>
      <c r="X20" s="19">
        <v>0.5</v>
      </c>
      <c r="Y20" s="19">
        <v>0.5</v>
      </c>
      <c r="Z20" s="1"/>
    </row>
    <row r="21">
      <c r="A21" s="8" t="s">
        <v>37</v>
      </c>
      <c r="B21" s="7">
        <v>105352.0</v>
      </c>
      <c r="C21" s="8">
        <f t="shared" ref="C21:Y21" si="9">C19*C15</f>
        <v>98280</v>
      </c>
      <c r="D21" s="8">
        <f t="shared" si="9"/>
        <v>8060</v>
      </c>
      <c r="E21" s="8">
        <f t="shared" si="9"/>
        <v>8060</v>
      </c>
      <c r="F21" s="8">
        <f t="shared" si="9"/>
        <v>8060</v>
      </c>
      <c r="G21" s="8">
        <f t="shared" si="9"/>
        <v>8060</v>
      </c>
      <c r="H21" s="8">
        <f t="shared" si="9"/>
        <v>8060</v>
      </c>
      <c r="I21" s="8">
        <f t="shared" si="9"/>
        <v>8060</v>
      </c>
      <c r="J21" s="8">
        <f t="shared" si="9"/>
        <v>8060</v>
      </c>
      <c r="K21" s="8">
        <f t="shared" si="9"/>
        <v>8060</v>
      </c>
      <c r="L21" s="8">
        <f t="shared" si="9"/>
        <v>8060</v>
      </c>
      <c r="M21" s="8">
        <f t="shared" si="9"/>
        <v>8060</v>
      </c>
      <c r="N21" s="8">
        <f t="shared" si="9"/>
        <v>8060</v>
      </c>
      <c r="O21" s="8">
        <f t="shared" si="9"/>
        <v>8060</v>
      </c>
      <c r="P21" s="8">
        <f t="shared" si="9"/>
        <v>60000</v>
      </c>
      <c r="Q21" s="8">
        <f t="shared" si="9"/>
        <v>60000</v>
      </c>
      <c r="R21" s="8">
        <f t="shared" si="9"/>
        <v>60000</v>
      </c>
      <c r="S21" s="8">
        <f t="shared" si="9"/>
        <v>60000</v>
      </c>
      <c r="T21" s="8">
        <f t="shared" si="9"/>
        <v>60000</v>
      </c>
      <c r="U21" s="8">
        <f t="shared" si="9"/>
        <v>60000</v>
      </c>
      <c r="V21" s="8">
        <f t="shared" si="9"/>
        <v>60000</v>
      </c>
      <c r="W21" s="8">
        <f t="shared" si="9"/>
        <v>60000</v>
      </c>
      <c r="X21" s="8">
        <f t="shared" si="9"/>
        <v>60000</v>
      </c>
      <c r="Y21" s="8">
        <f t="shared" si="9"/>
        <v>60000</v>
      </c>
      <c r="Z21" s="1"/>
    </row>
    <row r="22">
      <c r="A22" s="8" t="s">
        <v>38</v>
      </c>
      <c r="B22" s="7">
        <v>105352.0</v>
      </c>
      <c r="C22" s="8">
        <f t="shared" ref="C22:D22" si="10">C21*9</f>
        <v>884520</v>
      </c>
      <c r="D22" s="8">
        <f t="shared" si="10"/>
        <v>72540</v>
      </c>
      <c r="E22" s="8">
        <f t="shared" ref="E22:Y22" si="11">D22+E21</f>
        <v>80600</v>
      </c>
      <c r="F22" s="8">
        <f t="shared" si="11"/>
        <v>88660</v>
      </c>
      <c r="G22" s="8">
        <f t="shared" si="11"/>
        <v>96720</v>
      </c>
      <c r="H22" s="8">
        <f t="shared" si="11"/>
        <v>104780</v>
      </c>
      <c r="I22" s="8">
        <f t="shared" si="11"/>
        <v>112840</v>
      </c>
      <c r="J22" s="8">
        <f t="shared" si="11"/>
        <v>120900</v>
      </c>
      <c r="K22" s="8">
        <f t="shared" si="11"/>
        <v>128960</v>
      </c>
      <c r="L22" s="8">
        <f t="shared" si="11"/>
        <v>137020</v>
      </c>
      <c r="M22" s="8">
        <f t="shared" si="11"/>
        <v>145080</v>
      </c>
      <c r="N22" s="8">
        <f t="shared" si="11"/>
        <v>153140</v>
      </c>
      <c r="O22" s="8">
        <f t="shared" si="11"/>
        <v>161200</v>
      </c>
      <c r="P22" s="8">
        <f t="shared" si="11"/>
        <v>221200</v>
      </c>
      <c r="Q22" s="8">
        <f t="shared" si="11"/>
        <v>281200</v>
      </c>
      <c r="R22" s="8">
        <f t="shared" si="11"/>
        <v>341200</v>
      </c>
      <c r="S22" s="8">
        <f t="shared" si="11"/>
        <v>401200</v>
      </c>
      <c r="T22" s="8">
        <f t="shared" si="11"/>
        <v>461200</v>
      </c>
      <c r="U22" s="8">
        <f t="shared" si="11"/>
        <v>521200</v>
      </c>
      <c r="V22" s="8">
        <f t="shared" si="11"/>
        <v>581200</v>
      </c>
      <c r="W22" s="8">
        <f t="shared" si="11"/>
        <v>641200</v>
      </c>
      <c r="X22" s="8">
        <f t="shared" si="11"/>
        <v>701200</v>
      </c>
      <c r="Y22" s="8">
        <f t="shared" si="11"/>
        <v>761200</v>
      </c>
      <c r="Z22" s="1"/>
    </row>
    <row r="23">
      <c r="A23" s="8" t="s">
        <v>39</v>
      </c>
      <c r="B23" s="8">
        <f t="shared" ref="B23:Y23" si="12">B21*B20</f>
        <v>63211.2</v>
      </c>
      <c r="C23" s="8">
        <f t="shared" si="12"/>
        <v>58968</v>
      </c>
      <c r="D23" s="8">
        <f t="shared" si="12"/>
        <v>4836</v>
      </c>
      <c r="E23" s="8">
        <f t="shared" si="12"/>
        <v>4836</v>
      </c>
      <c r="F23" s="8">
        <f t="shared" si="12"/>
        <v>4836</v>
      </c>
      <c r="G23" s="8">
        <f t="shared" si="12"/>
        <v>4836</v>
      </c>
      <c r="H23" s="8">
        <f t="shared" si="12"/>
        <v>4836</v>
      </c>
      <c r="I23" s="8">
        <f t="shared" si="12"/>
        <v>4836</v>
      </c>
      <c r="J23" s="8">
        <f t="shared" si="12"/>
        <v>4836</v>
      </c>
      <c r="K23" s="8">
        <f t="shared" si="12"/>
        <v>4836</v>
      </c>
      <c r="L23" s="8">
        <f t="shared" si="12"/>
        <v>4836</v>
      </c>
      <c r="M23" s="8">
        <f t="shared" si="12"/>
        <v>4836</v>
      </c>
      <c r="N23" s="8">
        <f t="shared" si="12"/>
        <v>4836</v>
      </c>
      <c r="O23" s="8">
        <f t="shared" si="12"/>
        <v>4836</v>
      </c>
      <c r="P23" s="8">
        <f t="shared" si="12"/>
        <v>30000</v>
      </c>
      <c r="Q23" s="8">
        <f t="shared" si="12"/>
        <v>30000</v>
      </c>
      <c r="R23" s="8">
        <f t="shared" si="12"/>
        <v>30000</v>
      </c>
      <c r="S23" s="8">
        <f t="shared" si="12"/>
        <v>30000</v>
      </c>
      <c r="T23" s="8">
        <f t="shared" si="12"/>
        <v>30000</v>
      </c>
      <c r="U23" s="8">
        <f t="shared" si="12"/>
        <v>30000</v>
      </c>
      <c r="V23" s="8">
        <f t="shared" si="12"/>
        <v>30000</v>
      </c>
      <c r="W23" s="8">
        <f t="shared" si="12"/>
        <v>30000</v>
      </c>
      <c r="X23" s="8">
        <f t="shared" si="12"/>
        <v>30000</v>
      </c>
      <c r="Y23" s="8">
        <f t="shared" si="12"/>
        <v>30000</v>
      </c>
      <c r="Z23" s="1"/>
    </row>
    <row r="24">
      <c r="A24" s="8" t="s">
        <v>40</v>
      </c>
      <c r="B24" s="8">
        <f t="shared" ref="B24:Y24" si="13">B20*B22</f>
        <v>63211.2</v>
      </c>
      <c r="C24" s="8">
        <f t="shared" si="13"/>
        <v>530712</v>
      </c>
      <c r="D24" s="8">
        <f t="shared" si="13"/>
        <v>43524</v>
      </c>
      <c r="E24" s="8">
        <f t="shared" si="13"/>
        <v>48360</v>
      </c>
      <c r="F24" s="8">
        <f t="shared" si="13"/>
        <v>53196</v>
      </c>
      <c r="G24" s="8">
        <f t="shared" si="13"/>
        <v>58032</v>
      </c>
      <c r="H24" s="8">
        <f t="shared" si="13"/>
        <v>62868</v>
      </c>
      <c r="I24" s="8">
        <f t="shared" si="13"/>
        <v>67704</v>
      </c>
      <c r="J24" s="8">
        <f t="shared" si="13"/>
        <v>72540</v>
      </c>
      <c r="K24" s="8">
        <f t="shared" si="13"/>
        <v>77376</v>
      </c>
      <c r="L24" s="8">
        <f t="shared" si="13"/>
        <v>82212</v>
      </c>
      <c r="M24" s="8">
        <f t="shared" si="13"/>
        <v>87048</v>
      </c>
      <c r="N24" s="8">
        <f t="shared" si="13"/>
        <v>91884</v>
      </c>
      <c r="O24" s="8">
        <f t="shared" si="13"/>
        <v>96720</v>
      </c>
      <c r="P24" s="8">
        <f t="shared" si="13"/>
        <v>110600</v>
      </c>
      <c r="Q24" s="8">
        <f t="shared" si="13"/>
        <v>140600</v>
      </c>
      <c r="R24" s="8">
        <f t="shared" si="13"/>
        <v>170600</v>
      </c>
      <c r="S24" s="8">
        <f t="shared" si="13"/>
        <v>200600</v>
      </c>
      <c r="T24" s="8">
        <f t="shared" si="13"/>
        <v>230600</v>
      </c>
      <c r="U24" s="8">
        <f t="shared" si="13"/>
        <v>260600</v>
      </c>
      <c r="V24" s="8">
        <f t="shared" si="13"/>
        <v>290600</v>
      </c>
      <c r="W24" s="8">
        <f t="shared" si="13"/>
        <v>320600</v>
      </c>
      <c r="X24" s="8">
        <f t="shared" si="13"/>
        <v>350600</v>
      </c>
      <c r="Y24" s="8">
        <f t="shared" si="13"/>
        <v>380600</v>
      </c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41</v>
      </c>
      <c r="B26" s="8">
        <f t="shared" ref="B26:Y26" si="14">B4+B5</f>
        <v>41611.69</v>
      </c>
      <c r="C26" s="8">
        <f t="shared" si="14"/>
        <v>150000</v>
      </c>
      <c r="D26" s="8">
        <f t="shared" si="14"/>
        <v>12500</v>
      </c>
      <c r="E26" s="8">
        <f t="shared" si="14"/>
        <v>12500</v>
      </c>
      <c r="F26" s="8">
        <f t="shared" si="14"/>
        <v>12500</v>
      </c>
      <c r="G26" s="8">
        <f t="shared" si="14"/>
        <v>12500</v>
      </c>
      <c r="H26" s="8">
        <f t="shared" si="14"/>
        <v>12500</v>
      </c>
      <c r="I26" s="8">
        <f t="shared" si="14"/>
        <v>12500</v>
      </c>
      <c r="J26" s="8">
        <f t="shared" si="14"/>
        <v>12500</v>
      </c>
      <c r="K26" s="8">
        <f t="shared" si="14"/>
        <v>12500</v>
      </c>
      <c r="L26" s="8">
        <f t="shared" si="14"/>
        <v>12500</v>
      </c>
      <c r="M26" s="8">
        <f t="shared" si="14"/>
        <v>12500</v>
      </c>
      <c r="N26" s="8">
        <f t="shared" si="14"/>
        <v>12500</v>
      </c>
      <c r="O26" s="8">
        <f t="shared" si="14"/>
        <v>12500</v>
      </c>
      <c r="P26" s="8">
        <f t="shared" si="14"/>
        <v>11000</v>
      </c>
      <c r="Q26" s="8">
        <f t="shared" si="14"/>
        <v>11000</v>
      </c>
      <c r="R26" s="8">
        <f t="shared" si="14"/>
        <v>11000</v>
      </c>
      <c r="S26" s="8">
        <f t="shared" si="14"/>
        <v>11000</v>
      </c>
      <c r="T26" s="8">
        <f t="shared" si="14"/>
        <v>11000</v>
      </c>
      <c r="U26" s="8">
        <f t="shared" si="14"/>
        <v>11000</v>
      </c>
      <c r="V26" s="8">
        <f t="shared" si="14"/>
        <v>11000</v>
      </c>
      <c r="W26" s="8">
        <f t="shared" si="14"/>
        <v>11000</v>
      </c>
      <c r="X26" s="8">
        <f t="shared" si="14"/>
        <v>11000</v>
      </c>
      <c r="Y26" s="8">
        <f t="shared" si="14"/>
        <v>11000</v>
      </c>
      <c r="Z26" s="1"/>
    </row>
    <row r="27">
      <c r="A27" s="7" t="s">
        <v>43</v>
      </c>
      <c r="B27" s="8">
        <f t="shared" ref="B27:O27" si="15">B24-B26</f>
        <v>21599.51</v>
      </c>
      <c r="C27" s="8">
        <f t="shared" si="15"/>
        <v>380712</v>
      </c>
      <c r="D27" s="8">
        <f t="shared" si="15"/>
        <v>31024</v>
      </c>
      <c r="E27" s="8">
        <f t="shared" si="15"/>
        <v>35860</v>
      </c>
      <c r="F27" s="8">
        <f t="shared" si="15"/>
        <v>40696</v>
      </c>
      <c r="G27" s="8">
        <f t="shared" si="15"/>
        <v>45532</v>
      </c>
      <c r="H27" s="8">
        <f t="shared" si="15"/>
        <v>50368</v>
      </c>
      <c r="I27" s="8">
        <f t="shared" si="15"/>
        <v>55204</v>
      </c>
      <c r="J27" s="8">
        <f t="shared" si="15"/>
        <v>60040</v>
      </c>
      <c r="K27" s="8">
        <f t="shared" si="15"/>
        <v>64876</v>
      </c>
      <c r="L27" s="8">
        <f t="shared" si="15"/>
        <v>69712</v>
      </c>
      <c r="M27" s="8">
        <f t="shared" si="15"/>
        <v>74548</v>
      </c>
      <c r="N27" s="8">
        <f t="shared" si="15"/>
        <v>79384</v>
      </c>
      <c r="O27" s="8">
        <f t="shared" si="15"/>
        <v>84220</v>
      </c>
      <c r="P27" s="8" t="str">
        <f t="shared" ref="P27:Y27" si="16">P24-P26-#REF!</f>
        <v>#REF!</v>
      </c>
      <c r="Q27" s="8" t="str">
        <f t="shared" si="16"/>
        <v>#REF!</v>
      </c>
      <c r="R27" s="8" t="str">
        <f t="shared" si="16"/>
        <v>#REF!</v>
      </c>
      <c r="S27" s="8" t="str">
        <f t="shared" si="16"/>
        <v>#REF!</v>
      </c>
      <c r="T27" s="8" t="str">
        <f t="shared" si="16"/>
        <v>#REF!</v>
      </c>
      <c r="U27" s="8" t="str">
        <f t="shared" si="16"/>
        <v>#REF!</v>
      </c>
      <c r="V27" s="8" t="str">
        <f t="shared" si="16"/>
        <v>#REF!</v>
      </c>
      <c r="W27" s="8" t="str">
        <f t="shared" si="16"/>
        <v>#REF!</v>
      </c>
      <c r="X27" s="8" t="str">
        <f t="shared" si="16"/>
        <v>#REF!</v>
      </c>
      <c r="Y27" s="8" t="str">
        <f t="shared" si="16"/>
        <v>#REF!</v>
      </c>
      <c r="Z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>
      <c r="A29" s="24"/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/>
    </row>
    <row r="30" ht="49.5" customHeight="1">
      <c r="A30" s="24"/>
      <c r="B30" s="26"/>
      <c r="C30" s="24"/>
      <c r="D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 ht="15.75" customHeight="1">
      <c r="A31" s="24"/>
      <c r="B31" s="24"/>
      <c r="C31" s="24"/>
      <c r="D31" s="24"/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>
      <c r="A32" s="24"/>
      <c r="B32" s="24"/>
      <c r="C32" s="24"/>
      <c r="D32" s="24"/>
      <c r="E32" s="24"/>
      <c r="F32" s="27"/>
      <c r="G32" s="28"/>
      <c r="H32" s="28"/>
      <c r="I32" s="28"/>
      <c r="J32" s="2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>
      <c r="A33" s="24"/>
      <c r="B33" s="24"/>
      <c r="C33" s="24"/>
      <c r="D33" s="24"/>
      <c r="E33" s="24"/>
      <c r="F33" s="27"/>
      <c r="G33" s="28"/>
      <c r="H33" s="28"/>
      <c r="I33" s="28"/>
      <c r="J33" s="2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25"/>
    <col customWidth="1" min="2" max="4" width="18.38"/>
    <col customWidth="1" min="5" max="16" width="13.5"/>
  </cols>
  <sheetData>
    <row r="1">
      <c r="A1" s="3"/>
      <c r="B1" s="5" t="s">
        <v>44</v>
      </c>
      <c r="C1" s="4" t="s">
        <v>3</v>
      </c>
      <c r="D1" s="29"/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  <c r="O1" s="5" t="s">
        <v>55</v>
      </c>
      <c r="P1" s="5" t="s">
        <v>56</v>
      </c>
    </row>
    <row r="2">
      <c r="A2" s="30" t="s">
        <v>20</v>
      </c>
      <c r="B2" s="31">
        <f t="shared" ref="B2:C2" si="1">B3+B4</f>
        <v>483231.85</v>
      </c>
      <c r="C2" s="31">
        <f t="shared" si="1"/>
        <v>486000</v>
      </c>
      <c r="D2" s="32"/>
      <c r="E2" s="31">
        <f t="shared" ref="E2:P2" si="2">E3+E4</f>
        <v>40500</v>
      </c>
      <c r="F2" s="31">
        <f t="shared" si="2"/>
        <v>40500</v>
      </c>
      <c r="G2" s="31">
        <f t="shared" si="2"/>
        <v>40500</v>
      </c>
      <c r="H2" s="31">
        <f t="shared" si="2"/>
        <v>40500</v>
      </c>
      <c r="I2" s="31">
        <f t="shared" si="2"/>
        <v>40500</v>
      </c>
      <c r="J2" s="31">
        <f t="shared" si="2"/>
        <v>40500</v>
      </c>
      <c r="K2" s="31">
        <f t="shared" si="2"/>
        <v>40500</v>
      </c>
      <c r="L2" s="31">
        <f t="shared" si="2"/>
        <v>40500</v>
      </c>
      <c r="M2" s="31">
        <f t="shared" si="2"/>
        <v>40500</v>
      </c>
      <c r="N2" s="31">
        <f t="shared" si="2"/>
        <v>40500</v>
      </c>
      <c r="O2" s="31">
        <f t="shared" si="2"/>
        <v>40500</v>
      </c>
      <c r="P2" s="31">
        <f t="shared" si="2"/>
        <v>40500</v>
      </c>
    </row>
    <row r="3">
      <c r="A3" s="33" t="s">
        <v>21</v>
      </c>
      <c r="B3" s="11">
        <f>5500*11</f>
        <v>60500</v>
      </c>
      <c r="C3" s="11">
        <f>5500*12</f>
        <v>66000</v>
      </c>
      <c r="D3" s="34"/>
      <c r="E3" s="11">
        <v>5500.0</v>
      </c>
      <c r="F3" s="11">
        <v>5500.0</v>
      </c>
      <c r="G3" s="11">
        <v>5500.0</v>
      </c>
      <c r="H3" s="11">
        <v>5500.0</v>
      </c>
      <c r="I3" s="11">
        <v>5500.0</v>
      </c>
      <c r="J3" s="11">
        <v>5500.0</v>
      </c>
      <c r="K3" s="11">
        <v>5500.0</v>
      </c>
      <c r="L3" s="11">
        <v>5500.0</v>
      </c>
      <c r="M3" s="11">
        <v>5500.0</v>
      </c>
      <c r="N3" s="11">
        <v>5500.0</v>
      </c>
      <c r="O3" s="11">
        <v>5500.0</v>
      </c>
      <c r="P3" s="11">
        <v>5500.0</v>
      </c>
    </row>
    <row r="4">
      <c r="A4" s="35" t="s">
        <v>22</v>
      </c>
      <c r="B4" s="36">
        <v>422731.85</v>
      </c>
      <c r="C4" s="36">
        <f>35000*12</f>
        <v>420000</v>
      </c>
      <c r="D4" s="37"/>
      <c r="E4" s="36">
        <v>35000.0</v>
      </c>
      <c r="F4" s="36">
        <v>35000.0</v>
      </c>
      <c r="G4" s="36">
        <v>35000.0</v>
      </c>
      <c r="H4" s="36">
        <v>35000.0</v>
      </c>
      <c r="I4" s="36">
        <v>35000.0</v>
      </c>
      <c r="J4" s="36">
        <v>35000.0</v>
      </c>
      <c r="K4" s="36">
        <v>35000.0</v>
      </c>
      <c r="L4" s="36">
        <v>35000.0</v>
      </c>
      <c r="M4" s="36">
        <v>35000.0</v>
      </c>
      <c r="N4" s="36">
        <v>35000.0</v>
      </c>
      <c r="O4" s="36">
        <v>35000.0</v>
      </c>
      <c r="P4" s="36">
        <v>35000.0</v>
      </c>
    </row>
    <row r="5">
      <c r="A5" s="30" t="s">
        <v>23</v>
      </c>
      <c r="B5" s="38">
        <v>47932.0</v>
      </c>
      <c r="C5" s="39">
        <f>ROUNDDOWN(IFERROR(C4/C6,0),0)</f>
        <v>43887</v>
      </c>
      <c r="D5" s="40"/>
      <c r="E5" s="39">
        <f t="shared" ref="E5:P5" si="3">ROUNDDOWN(IFERROR(E4/E6,0),0)</f>
        <v>3657</v>
      </c>
      <c r="F5" s="39">
        <f t="shared" si="3"/>
        <v>3657</v>
      </c>
      <c r="G5" s="39">
        <f t="shared" si="3"/>
        <v>3657</v>
      </c>
      <c r="H5" s="39">
        <f t="shared" si="3"/>
        <v>3657</v>
      </c>
      <c r="I5" s="39">
        <f t="shared" si="3"/>
        <v>3657</v>
      </c>
      <c r="J5" s="39">
        <f t="shared" si="3"/>
        <v>3657</v>
      </c>
      <c r="K5" s="39">
        <f t="shared" si="3"/>
        <v>3657</v>
      </c>
      <c r="L5" s="39">
        <f t="shared" si="3"/>
        <v>3657</v>
      </c>
      <c r="M5" s="39">
        <f t="shared" si="3"/>
        <v>3657</v>
      </c>
      <c r="N5" s="39">
        <f t="shared" si="3"/>
        <v>3657</v>
      </c>
      <c r="O5" s="39">
        <f t="shared" si="3"/>
        <v>3657</v>
      </c>
      <c r="P5" s="39">
        <f t="shared" si="3"/>
        <v>3657</v>
      </c>
    </row>
    <row r="6">
      <c r="A6" s="33" t="s">
        <v>24</v>
      </c>
      <c r="B6" s="10">
        <f>IFERROR(B4/B5,0)</f>
        <v>8.819407703</v>
      </c>
      <c r="C6" s="11">
        <v>9.57</v>
      </c>
      <c r="D6" s="41"/>
      <c r="E6" s="11">
        <v>9.57</v>
      </c>
      <c r="F6" s="11">
        <v>9.57</v>
      </c>
      <c r="G6" s="11">
        <v>9.57</v>
      </c>
      <c r="H6" s="11">
        <v>9.57</v>
      </c>
      <c r="I6" s="11">
        <v>9.57</v>
      </c>
      <c r="J6" s="11">
        <v>9.57</v>
      </c>
      <c r="K6" s="11">
        <v>9.57</v>
      </c>
      <c r="L6" s="11">
        <v>9.57</v>
      </c>
      <c r="M6" s="11">
        <v>9.57</v>
      </c>
      <c r="N6" s="11">
        <v>9.57</v>
      </c>
      <c r="O6" s="11">
        <v>9.57</v>
      </c>
      <c r="P6" s="11">
        <v>9.57</v>
      </c>
    </row>
    <row r="7">
      <c r="A7" s="33" t="s">
        <v>25</v>
      </c>
      <c r="B7" s="15">
        <v>0.2219</v>
      </c>
      <c r="C7" s="15">
        <v>0.21</v>
      </c>
      <c r="D7" s="42"/>
      <c r="E7" s="15">
        <v>0.21</v>
      </c>
      <c r="F7" s="15">
        <v>0.21</v>
      </c>
      <c r="G7" s="15">
        <v>0.21</v>
      </c>
      <c r="H7" s="15">
        <v>0.21</v>
      </c>
      <c r="I7" s="15">
        <v>0.21</v>
      </c>
      <c r="J7" s="15">
        <v>0.21</v>
      </c>
      <c r="K7" s="15">
        <v>0.22</v>
      </c>
      <c r="L7" s="15">
        <v>0.22</v>
      </c>
      <c r="M7" s="15">
        <v>0.22</v>
      </c>
      <c r="N7" s="15">
        <v>0.22</v>
      </c>
      <c r="O7" s="15">
        <v>0.22</v>
      </c>
      <c r="P7" s="15">
        <v>0.22</v>
      </c>
    </row>
    <row r="8">
      <c r="A8" s="43" t="s">
        <v>26</v>
      </c>
      <c r="B8" s="44">
        <v>6707.0</v>
      </c>
      <c r="C8" s="45">
        <f>ROUNDDOWN(IFERROR(C5*C7,0),0)</f>
        <v>9216</v>
      </c>
      <c r="D8" s="46"/>
      <c r="E8" s="45">
        <f t="shared" ref="E8:P8" si="4">ROUNDDOWN(IFERROR(E5*E7,0),0)</f>
        <v>767</v>
      </c>
      <c r="F8" s="45">
        <f t="shared" si="4"/>
        <v>767</v>
      </c>
      <c r="G8" s="45">
        <f t="shared" si="4"/>
        <v>767</v>
      </c>
      <c r="H8" s="45">
        <f t="shared" si="4"/>
        <v>767</v>
      </c>
      <c r="I8" s="45">
        <f t="shared" si="4"/>
        <v>767</v>
      </c>
      <c r="J8" s="45">
        <f t="shared" si="4"/>
        <v>767</v>
      </c>
      <c r="K8" s="45">
        <f t="shared" si="4"/>
        <v>804</v>
      </c>
      <c r="L8" s="45">
        <f t="shared" si="4"/>
        <v>804</v>
      </c>
      <c r="M8" s="45">
        <f t="shared" si="4"/>
        <v>804</v>
      </c>
      <c r="N8" s="45">
        <f t="shared" si="4"/>
        <v>804</v>
      </c>
      <c r="O8" s="45">
        <f t="shared" si="4"/>
        <v>804</v>
      </c>
      <c r="P8" s="45">
        <f t="shared" si="4"/>
        <v>804</v>
      </c>
    </row>
    <row r="9">
      <c r="A9" s="33" t="s">
        <v>27</v>
      </c>
      <c r="B9" s="10">
        <f>IFERROR(B4/B8,0)</f>
        <v>63.02845535</v>
      </c>
      <c r="C9" s="10">
        <f>C4/C8</f>
        <v>45.57291667</v>
      </c>
      <c r="D9" s="34"/>
      <c r="E9" s="10">
        <f t="shared" ref="E9:P9" si="5">IFERROR(E4/E8,0)</f>
        <v>45.63233377</v>
      </c>
      <c r="F9" s="10">
        <f t="shared" si="5"/>
        <v>45.63233377</v>
      </c>
      <c r="G9" s="10">
        <f t="shared" si="5"/>
        <v>45.63233377</v>
      </c>
      <c r="H9" s="10">
        <f t="shared" si="5"/>
        <v>45.63233377</v>
      </c>
      <c r="I9" s="10">
        <f t="shared" si="5"/>
        <v>45.63233377</v>
      </c>
      <c r="J9" s="10">
        <f t="shared" si="5"/>
        <v>45.63233377</v>
      </c>
      <c r="K9" s="10">
        <f t="shared" si="5"/>
        <v>43.53233831</v>
      </c>
      <c r="L9" s="10">
        <f t="shared" si="5"/>
        <v>43.53233831</v>
      </c>
      <c r="M9" s="10">
        <f t="shared" si="5"/>
        <v>43.53233831</v>
      </c>
      <c r="N9" s="10">
        <f t="shared" si="5"/>
        <v>43.53233831</v>
      </c>
      <c r="O9" s="10">
        <f t="shared" si="5"/>
        <v>43.53233831</v>
      </c>
      <c r="P9" s="10">
        <f t="shared" si="5"/>
        <v>43.53233831</v>
      </c>
    </row>
    <row r="10">
      <c r="A10" s="33" t="s">
        <v>28</v>
      </c>
      <c r="B10" s="15">
        <v>0.4892</v>
      </c>
      <c r="C10" s="19">
        <v>0.4892</v>
      </c>
      <c r="D10" s="47"/>
      <c r="E10" s="19">
        <v>0.4892</v>
      </c>
      <c r="F10" s="19">
        <v>0.4892</v>
      </c>
      <c r="G10" s="19">
        <v>0.4892</v>
      </c>
      <c r="H10" s="19">
        <v>0.4892</v>
      </c>
      <c r="I10" s="19">
        <v>0.4892</v>
      </c>
      <c r="J10" s="19">
        <v>0.4892</v>
      </c>
      <c r="K10" s="19">
        <v>0.4892</v>
      </c>
      <c r="L10" s="19">
        <v>0.4892</v>
      </c>
      <c r="M10" s="19">
        <v>0.4892</v>
      </c>
      <c r="N10" s="19">
        <v>0.4892</v>
      </c>
      <c r="O10" s="19">
        <v>0.4892</v>
      </c>
      <c r="P10" s="19">
        <v>0.4892</v>
      </c>
    </row>
    <row r="11">
      <c r="A11" s="48" t="s">
        <v>29</v>
      </c>
      <c r="B11" s="49">
        <v>4792.0</v>
      </c>
      <c r="C11" s="50">
        <f>ROUNDDOWN(IFERROR(C10*C8,0),0)</f>
        <v>4508</v>
      </c>
      <c r="D11" s="51"/>
      <c r="E11" s="50">
        <f t="shared" ref="E11:P11" si="6">ROUNDDOWN(IFERROR(E10*E8,0),0)</f>
        <v>375</v>
      </c>
      <c r="F11" s="50">
        <f t="shared" si="6"/>
        <v>375</v>
      </c>
      <c r="G11" s="50">
        <f t="shared" si="6"/>
        <v>375</v>
      </c>
      <c r="H11" s="50">
        <f t="shared" si="6"/>
        <v>375</v>
      </c>
      <c r="I11" s="50">
        <f t="shared" si="6"/>
        <v>375</v>
      </c>
      <c r="J11" s="50">
        <f t="shared" si="6"/>
        <v>375</v>
      </c>
      <c r="K11" s="50">
        <f t="shared" si="6"/>
        <v>393</v>
      </c>
      <c r="L11" s="50">
        <f t="shared" si="6"/>
        <v>393</v>
      </c>
      <c r="M11" s="50">
        <f t="shared" si="6"/>
        <v>393</v>
      </c>
      <c r="N11" s="50">
        <f t="shared" si="6"/>
        <v>393</v>
      </c>
      <c r="O11" s="50">
        <f t="shared" si="6"/>
        <v>393</v>
      </c>
      <c r="P11" s="50">
        <f t="shared" si="6"/>
        <v>393</v>
      </c>
    </row>
    <row r="12">
      <c r="A12" s="33" t="s">
        <v>30</v>
      </c>
      <c r="B12" s="10">
        <f t="shared" ref="B12:C12" si="7">IFERROR(B4/B11,0)</f>
        <v>88.21616235</v>
      </c>
      <c r="C12" s="10">
        <f t="shared" si="7"/>
        <v>93.16770186</v>
      </c>
      <c r="D12" s="34"/>
      <c r="E12" s="10">
        <f t="shared" ref="E12:P12" si="8">IFERROR(E4/E11,0)</f>
        <v>93.33333333</v>
      </c>
      <c r="F12" s="10">
        <f t="shared" si="8"/>
        <v>93.33333333</v>
      </c>
      <c r="G12" s="10">
        <f t="shared" si="8"/>
        <v>93.33333333</v>
      </c>
      <c r="H12" s="10">
        <f t="shared" si="8"/>
        <v>93.33333333</v>
      </c>
      <c r="I12" s="10">
        <f t="shared" si="8"/>
        <v>93.33333333</v>
      </c>
      <c r="J12" s="10">
        <f t="shared" si="8"/>
        <v>93.33333333</v>
      </c>
      <c r="K12" s="10">
        <f t="shared" si="8"/>
        <v>89.05852417</v>
      </c>
      <c r="L12" s="10">
        <f t="shared" si="8"/>
        <v>89.05852417</v>
      </c>
      <c r="M12" s="10">
        <f t="shared" si="8"/>
        <v>89.05852417</v>
      </c>
      <c r="N12" s="10">
        <f t="shared" si="8"/>
        <v>89.05852417</v>
      </c>
      <c r="O12" s="10">
        <f t="shared" si="8"/>
        <v>89.05852417</v>
      </c>
      <c r="P12" s="10">
        <f t="shared" si="8"/>
        <v>89.05852417</v>
      </c>
    </row>
    <row r="13">
      <c r="A13" s="52" t="s">
        <v>31</v>
      </c>
      <c r="B13" s="15">
        <v>0.6917</v>
      </c>
      <c r="C13" s="15">
        <v>0.6917</v>
      </c>
      <c r="D13" s="47"/>
      <c r="E13" s="15">
        <v>0.6917</v>
      </c>
      <c r="F13" s="15">
        <v>0.6917</v>
      </c>
      <c r="G13" s="15">
        <v>0.6917</v>
      </c>
      <c r="H13" s="15">
        <v>0.6917</v>
      </c>
      <c r="I13" s="15">
        <v>0.6917</v>
      </c>
      <c r="J13" s="15">
        <v>0.6917</v>
      </c>
      <c r="K13" s="15">
        <v>0.6917</v>
      </c>
      <c r="L13" s="15">
        <v>0.6917</v>
      </c>
      <c r="M13" s="15">
        <v>0.6917</v>
      </c>
      <c r="N13" s="15">
        <v>0.6917</v>
      </c>
      <c r="O13" s="15">
        <v>0.6917</v>
      </c>
      <c r="P13" s="15">
        <v>0.6917</v>
      </c>
    </row>
    <row r="14">
      <c r="A14" s="48" t="s">
        <v>32</v>
      </c>
      <c r="B14" s="49">
        <v>972.0</v>
      </c>
      <c r="C14" s="50">
        <f>ROUNDDOWN(C13*C11,0)</f>
        <v>3118</v>
      </c>
      <c r="D14" s="51"/>
      <c r="E14" s="50">
        <f t="shared" ref="E14:P14" si="9">ROUNDDOWN(E13*E11,0)</f>
        <v>259</v>
      </c>
      <c r="F14" s="50">
        <f t="shared" si="9"/>
        <v>259</v>
      </c>
      <c r="G14" s="50">
        <f t="shared" si="9"/>
        <v>259</v>
      </c>
      <c r="H14" s="50">
        <f t="shared" si="9"/>
        <v>259</v>
      </c>
      <c r="I14" s="50">
        <f t="shared" si="9"/>
        <v>259</v>
      </c>
      <c r="J14" s="50">
        <f t="shared" si="9"/>
        <v>259</v>
      </c>
      <c r="K14" s="50">
        <f t="shared" si="9"/>
        <v>271</v>
      </c>
      <c r="L14" s="50">
        <f t="shared" si="9"/>
        <v>271</v>
      </c>
      <c r="M14" s="50">
        <f t="shared" si="9"/>
        <v>271</v>
      </c>
      <c r="N14" s="50">
        <f t="shared" si="9"/>
        <v>271</v>
      </c>
      <c r="O14" s="50">
        <f t="shared" si="9"/>
        <v>271</v>
      </c>
      <c r="P14" s="50">
        <f t="shared" si="9"/>
        <v>271</v>
      </c>
    </row>
    <row r="15">
      <c r="A15" s="48" t="s">
        <v>33</v>
      </c>
      <c r="B15" s="53">
        <f t="shared" ref="B15:C15" si="10">IFERROR(B4/B14,"0")</f>
        <v>434.9093107</v>
      </c>
      <c r="C15" s="53">
        <f t="shared" si="10"/>
        <v>134.7017319</v>
      </c>
      <c r="D15" s="54"/>
      <c r="E15" s="53">
        <f t="shared" ref="E15:P15" si="11">IFERROR(E4/E14,"0")</f>
        <v>135.1351351</v>
      </c>
      <c r="F15" s="53">
        <f t="shared" si="11"/>
        <v>135.1351351</v>
      </c>
      <c r="G15" s="53">
        <f t="shared" si="11"/>
        <v>135.1351351</v>
      </c>
      <c r="H15" s="53">
        <f t="shared" si="11"/>
        <v>135.1351351</v>
      </c>
      <c r="I15" s="53">
        <f t="shared" si="11"/>
        <v>135.1351351</v>
      </c>
      <c r="J15" s="53">
        <f t="shared" si="11"/>
        <v>135.1351351</v>
      </c>
      <c r="K15" s="53">
        <f t="shared" si="11"/>
        <v>129.1512915</v>
      </c>
      <c r="L15" s="53">
        <f t="shared" si="11"/>
        <v>129.1512915</v>
      </c>
      <c r="M15" s="53">
        <f t="shared" si="11"/>
        <v>129.1512915</v>
      </c>
      <c r="N15" s="53">
        <f t="shared" si="11"/>
        <v>129.1512915</v>
      </c>
      <c r="O15" s="53">
        <f t="shared" si="11"/>
        <v>129.1512915</v>
      </c>
      <c r="P15" s="53">
        <f t="shared" si="11"/>
        <v>129.1512915</v>
      </c>
    </row>
    <row r="16">
      <c r="A16" s="55" t="s">
        <v>34</v>
      </c>
      <c r="B16" s="56">
        <f>B13*B10*B7</f>
        <v>0.07508644212</v>
      </c>
      <c r="C16" s="57">
        <v>0.0614</v>
      </c>
      <c r="D16" s="58"/>
      <c r="E16" s="57">
        <f t="shared" ref="E16:P16" si="12">IFERROR(E14/E5,0)</f>
        <v>0.07082307903</v>
      </c>
      <c r="F16" s="57">
        <f t="shared" si="12"/>
        <v>0.07082307903</v>
      </c>
      <c r="G16" s="57">
        <f t="shared" si="12"/>
        <v>0.07082307903</v>
      </c>
      <c r="H16" s="57">
        <f t="shared" si="12"/>
        <v>0.07082307903</v>
      </c>
      <c r="I16" s="57">
        <f t="shared" si="12"/>
        <v>0.07082307903</v>
      </c>
      <c r="J16" s="57">
        <f t="shared" si="12"/>
        <v>0.07082307903</v>
      </c>
      <c r="K16" s="57">
        <f t="shared" si="12"/>
        <v>0.07410445721</v>
      </c>
      <c r="L16" s="57">
        <f t="shared" si="12"/>
        <v>0.07410445721</v>
      </c>
      <c r="M16" s="57">
        <f t="shared" si="12"/>
        <v>0.07410445721</v>
      </c>
      <c r="N16" s="57">
        <f t="shared" si="12"/>
        <v>0.07410445721</v>
      </c>
      <c r="O16" s="57">
        <f t="shared" si="12"/>
        <v>0.07410445721</v>
      </c>
      <c r="P16" s="57">
        <f t="shared" si="12"/>
        <v>0.07410445721</v>
      </c>
    </row>
    <row r="17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>
      <c r="A18" s="11" t="s">
        <v>57</v>
      </c>
      <c r="B18" s="11">
        <v>1775.0</v>
      </c>
      <c r="C18" s="11">
        <v>1722.75</v>
      </c>
      <c r="D18" s="41"/>
      <c r="E18" s="11">
        <v>1722.75</v>
      </c>
      <c r="F18" s="11">
        <v>1722.75</v>
      </c>
      <c r="G18" s="11">
        <v>1722.75</v>
      </c>
      <c r="H18" s="11">
        <v>1722.75</v>
      </c>
      <c r="I18" s="11">
        <v>1722.75</v>
      </c>
      <c r="J18" s="11">
        <v>1722.75</v>
      </c>
      <c r="K18" s="11">
        <v>1722.75</v>
      </c>
      <c r="L18" s="11">
        <v>1722.75</v>
      </c>
      <c r="M18" s="11">
        <v>1722.75</v>
      </c>
      <c r="N18" s="11">
        <v>1722.75</v>
      </c>
      <c r="O18" s="11">
        <v>1722.75</v>
      </c>
      <c r="P18" s="11">
        <v>1722.75</v>
      </c>
    </row>
    <row r="19">
      <c r="A19" s="60" t="s">
        <v>58</v>
      </c>
      <c r="B19" s="19">
        <v>0.35</v>
      </c>
      <c r="C19" s="19">
        <v>0.15</v>
      </c>
      <c r="D19" s="61"/>
      <c r="E19" s="19">
        <v>0.15</v>
      </c>
      <c r="F19" s="19">
        <v>0.15</v>
      </c>
      <c r="G19" s="19">
        <v>0.15</v>
      </c>
      <c r="H19" s="19">
        <v>0.15</v>
      </c>
      <c r="I19" s="19">
        <v>0.15</v>
      </c>
      <c r="J19" s="19">
        <v>0.15</v>
      </c>
      <c r="K19" s="19">
        <v>0.15</v>
      </c>
      <c r="L19" s="19">
        <v>0.15</v>
      </c>
      <c r="M19" s="19">
        <v>0.15</v>
      </c>
      <c r="N19" s="19">
        <v>0.15</v>
      </c>
      <c r="O19" s="19">
        <v>0.15</v>
      </c>
      <c r="P19" s="19">
        <v>0.15</v>
      </c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>
      <c r="A21" s="53" t="s">
        <v>37</v>
      </c>
      <c r="B21" s="62"/>
      <c r="C21" s="53"/>
      <c r="D21" s="54"/>
      <c r="E21" s="53">
        <f t="shared" ref="E21:P21" si="13">E18*E14</f>
        <v>446192.25</v>
      </c>
      <c r="F21" s="53">
        <f t="shared" si="13"/>
        <v>446192.25</v>
      </c>
      <c r="G21" s="53">
        <f t="shared" si="13"/>
        <v>446192.25</v>
      </c>
      <c r="H21" s="53">
        <f t="shared" si="13"/>
        <v>446192.25</v>
      </c>
      <c r="I21" s="53">
        <f t="shared" si="13"/>
        <v>446192.25</v>
      </c>
      <c r="J21" s="53">
        <f t="shared" si="13"/>
        <v>446192.25</v>
      </c>
      <c r="K21" s="53">
        <f t="shared" si="13"/>
        <v>466865.25</v>
      </c>
      <c r="L21" s="53">
        <f t="shared" si="13"/>
        <v>466865.25</v>
      </c>
      <c r="M21" s="53">
        <f t="shared" si="13"/>
        <v>466865.25</v>
      </c>
      <c r="N21" s="53">
        <f t="shared" si="13"/>
        <v>466865.25</v>
      </c>
      <c r="O21" s="53">
        <f t="shared" si="13"/>
        <v>466865.25</v>
      </c>
      <c r="P21" s="53">
        <f t="shared" si="13"/>
        <v>466865.25</v>
      </c>
    </row>
    <row r="22">
      <c r="A22" s="53" t="s">
        <v>38</v>
      </c>
      <c r="B22" s="62">
        <v>1449888.11</v>
      </c>
      <c r="C22" s="53">
        <f>C18*C14</f>
        <v>5371534.5</v>
      </c>
      <c r="D22" s="54"/>
      <c r="E22" s="53">
        <f>E21</f>
        <v>446192.25</v>
      </c>
      <c r="F22" s="53">
        <f t="shared" ref="F22:P22" si="14">F21+E22</f>
        <v>892384.5</v>
      </c>
      <c r="G22" s="53">
        <f t="shared" si="14"/>
        <v>1338576.75</v>
      </c>
      <c r="H22" s="53">
        <f t="shared" si="14"/>
        <v>1784769</v>
      </c>
      <c r="I22" s="53">
        <f t="shared" si="14"/>
        <v>2230961.25</v>
      </c>
      <c r="J22" s="53">
        <f t="shared" si="14"/>
        <v>2677153.5</v>
      </c>
      <c r="K22" s="53">
        <f t="shared" si="14"/>
        <v>3144018.75</v>
      </c>
      <c r="L22" s="53">
        <f t="shared" si="14"/>
        <v>3610884</v>
      </c>
      <c r="M22" s="53">
        <f t="shared" si="14"/>
        <v>4077749.25</v>
      </c>
      <c r="N22" s="53">
        <f t="shared" si="14"/>
        <v>4544614.5</v>
      </c>
      <c r="O22" s="53">
        <f t="shared" si="14"/>
        <v>5011479.75</v>
      </c>
      <c r="P22" s="53">
        <f t="shared" si="14"/>
        <v>5478345</v>
      </c>
    </row>
    <row r="23">
      <c r="A23" s="63" t="s">
        <v>59</v>
      </c>
      <c r="B23" s="64">
        <f t="shared" ref="B23:C23" si="15">IFERROR(B22/B4,0)</f>
        <v>3.429805703</v>
      </c>
      <c r="C23" s="64">
        <f t="shared" si="15"/>
        <v>12.78936786</v>
      </c>
      <c r="D23" s="65"/>
      <c r="E23" s="64">
        <f t="shared" ref="E23:P23" si="16">IFERROR(E21/E4,0)</f>
        <v>12.74835</v>
      </c>
      <c r="F23" s="64">
        <f t="shared" si="16"/>
        <v>12.74835</v>
      </c>
      <c r="G23" s="64">
        <f t="shared" si="16"/>
        <v>12.74835</v>
      </c>
      <c r="H23" s="64">
        <f t="shared" si="16"/>
        <v>12.74835</v>
      </c>
      <c r="I23" s="64">
        <f t="shared" si="16"/>
        <v>12.74835</v>
      </c>
      <c r="J23" s="64">
        <f t="shared" si="16"/>
        <v>12.74835</v>
      </c>
      <c r="K23" s="64">
        <f t="shared" si="16"/>
        <v>13.33900714</v>
      </c>
      <c r="L23" s="64">
        <f t="shared" si="16"/>
        <v>13.33900714</v>
      </c>
      <c r="M23" s="64">
        <f t="shared" si="16"/>
        <v>13.33900714</v>
      </c>
      <c r="N23" s="64">
        <f t="shared" si="16"/>
        <v>13.33900714</v>
      </c>
      <c r="O23" s="64">
        <f t="shared" si="16"/>
        <v>13.33900714</v>
      </c>
      <c r="P23" s="64">
        <f t="shared" si="16"/>
        <v>13.33900714</v>
      </c>
    </row>
    <row r="24">
      <c r="A24" s="62" t="s">
        <v>60</v>
      </c>
      <c r="B24" s="53"/>
      <c r="C24" s="53"/>
      <c r="D24" s="54"/>
      <c r="E24" s="53">
        <f t="shared" ref="E24:P24" si="17">E21*E19</f>
        <v>66928.8375</v>
      </c>
      <c r="F24" s="53">
        <f t="shared" si="17"/>
        <v>66928.8375</v>
      </c>
      <c r="G24" s="53">
        <f t="shared" si="17"/>
        <v>66928.8375</v>
      </c>
      <c r="H24" s="53">
        <f t="shared" si="17"/>
        <v>66928.8375</v>
      </c>
      <c r="I24" s="53">
        <f t="shared" si="17"/>
        <v>66928.8375</v>
      </c>
      <c r="J24" s="53">
        <f t="shared" si="17"/>
        <v>66928.8375</v>
      </c>
      <c r="K24" s="53">
        <f t="shared" si="17"/>
        <v>70029.7875</v>
      </c>
      <c r="L24" s="53">
        <f t="shared" si="17"/>
        <v>70029.7875</v>
      </c>
      <c r="M24" s="53">
        <f t="shared" si="17"/>
        <v>70029.7875</v>
      </c>
      <c r="N24" s="53">
        <f t="shared" si="17"/>
        <v>70029.7875</v>
      </c>
      <c r="O24" s="53">
        <f t="shared" si="17"/>
        <v>70029.7875</v>
      </c>
      <c r="P24" s="53">
        <f t="shared" si="17"/>
        <v>70029.7875</v>
      </c>
    </row>
    <row r="25">
      <c r="A25" s="62" t="s">
        <v>61</v>
      </c>
      <c r="B25" s="53">
        <f t="shared" ref="B25:C25" si="18">B22*B19</f>
        <v>507460.8385</v>
      </c>
      <c r="C25" s="53">
        <f t="shared" si="18"/>
        <v>805730.175</v>
      </c>
      <c r="D25" s="54"/>
      <c r="E25" s="53">
        <f t="shared" ref="E25:P25" si="19">E19*E22</f>
        <v>66928.8375</v>
      </c>
      <c r="F25" s="53">
        <f t="shared" si="19"/>
        <v>133857.675</v>
      </c>
      <c r="G25" s="53">
        <f t="shared" si="19"/>
        <v>200786.5125</v>
      </c>
      <c r="H25" s="53">
        <f t="shared" si="19"/>
        <v>267715.35</v>
      </c>
      <c r="I25" s="53">
        <f t="shared" si="19"/>
        <v>334644.1875</v>
      </c>
      <c r="J25" s="53">
        <f t="shared" si="19"/>
        <v>401573.025</v>
      </c>
      <c r="K25" s="53">
        <f t="shared" si="19"/>
        <v>471602.8125</v>
      </c>
      <c r="L25" s="53">
        <f t="shared" si="19"/>
        <v>541632.6</v>
      </c>
      <c r="M25" s="53">
        <f t="shared" si="19"/>
        <v>611662.3875</v>
      </c>
      <c r="N25" s="53">
        <f t="shared" si="19"/>
        <v>681692.175</v>
      </c>
      <c r="O25" s="53">
        <f t="shared" si="19"/>
        <v>751721.9625</v>
      </c>
      <c r="P25" s="53">
        <f t="shared" si="19"/>
        <v>821751.75</v>
      </c>
    </row>
    <row r="26">
      <c r="A26" s="66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</row>
    <row r="27">
      <c r="A27" s="62" t="s">
        <v>62</v>
      </c>
      <c r="B27" s="53"/>
      <c r="C27" s="53"/>
      <c r="D27" s="54"/>
      <c r="E27" s="53">
        <f t="shared" ref="E27:P27" si="20">E3+E4</f>
        <v>40500</v>
      </c>
      <c r="F27" s="53">
        <f t="shared" si="20"/>
        <v>40500</v>
      </c>
      <c r="G27" s="53">
        <f t="shared" si="20"/>
        <v>40500</v>
      </c>
      <c r="H27" s="53">
        <f t="shared" si="20"/>
        <v>40500</v>
      </c>
      <c r="I27" s="53">
        <f t="shared" si="20"/>
        <v>40500</v>
      </c>
      <c r="J27" s="53">
        <f t="shared" si="20"/>
        <v>40500</v>
      </c>
      <c r="K27" s="53">
        <f t="shared" si="20"/>
        <v>40500</v>
      </c>
      <c r="L27" s="53">
        <f t="shared" si="20"/>
        <v>40500</v>
      </c>
      <c r="M27" s="53">
        <f t="shared" si="20"/>
        <v>40500</v>
      </c>
      <c r="N27" s="53">
        <f t="shared" si="20"/>
        <v>40500</v>
      </c>
      <c r="O27" s="53">
        <f t="shared" si="20"/>
        <v>40500</v>
      </c>
      <c r="P27" s="53">
        <f t="shared" si="20"/>
        <v>40500</v>
      </c>
    </row>
    <row r="28">
      <c r="A28" s="62" t="s">
        <v>63</v>
      </c>
      <c r="B28" s="53">
        <f t="shared" ref="B28:C28" si="21">B3+B4</f>
        <v>483231.85</v>
      </c>
      <c r="C28" s="53">
        <f t="shared" si="21"/>
        <v>486000</v>
      </c>
      <c r="D28" s="54"/>
      <c r="E28" s="53">
        <f>E27</f>
        <v>40500</v>
      </c>
      <c r="F28" s="53">
        <f t="shared" ref="F28:P28" si="22">E28+F27</f>
        <v>81000</v>
      </c>
      <c r="G28" s="53">
        <f t="shared" si="22"/>
        <v>121500</v>
      </c>
      <c r="H28" s="53">
        <f t="shared" si="22"/>
        <v>162000</v>
      </c>
      <c r="I28" s="53">
        <f t="shared" si="22"/>
        <v>202500</v>
      </c>
      <c r="J28" s="53">
        <f t="shared" si="22"/>
        <v>243000</v>
      </c>
      <c r="K28" s="53">
        <f t="shared" si="22"/>
        <v>283500</v>
      </c>
      <c r="L28" s="53">
        <f t="shared" si="22"/>
        <v>324000</v>
      </c>
      <c r="M28" s="53">
        <f t="shared" si="22"/>
        <v>364500</v>
      </c>
      <c r="N28" s="53">
        <f t="shared" si="22"/>
        <v>405000</v>
      </c>
      <c r="O28" s="53">
        <f t="shared" si="22"/>
        <v>445500</v>
      </c>
      <c r="P28" s="53">
        <f t="shared" si="22"/>
        <v>486000</v>
      </c>
    </row>
    <row r="29">
      <c r="A29" s="66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</row>
    <row r="30">
      <c r="A30" s="62" t="s">
        <v>64</v>
      </c>
      <c r="B30" s="53"/>
      <c r="C30" s="53"/>
      <c r="D30" s="54"/>
      <c r="E30" s="53">
        <f t="shared" ref="E30:P30" si="23">E24-E27</f>
        <v>26428.8375</v>
      </c>
      <c r="F30" s="53">
        <f t="shared" si="23"/>
        <v>26428.8375</v>
      </c>
      <c r="G30" s="53">
        <f t="shared" si="23"/>
        <v>26428.8375</v>
      </c>
      <c r="H30" s="53">
        <f t="shared" si="23"/>
        <v>26428.8375</v>
      </c>
      <c r="I30" s="53">
        <f t="shared" si="23"/>
        <v>26428.8375</v>
      </c>
      <c r="J30" s="53">
        <f t="shared" si="23"/>
        <v>26428.8375</v>
      </c>
      <c r="K30" s="53">
        <f t="shared" si="23"/>
        <v>29529.7875</v>
      </c>
      <c r="L30" s="53">
        <f t="shared" si="23"/>
        <v>29529.7875</v>
      </c>
      <c r="M30" s="53">
        <f t="shared" si="23"/>
        <v>29529.7875</v>
      </c>
      <c r="N30" s="53">
        <f t="shared" si="23"/>
        <v>29529.7875</v>
      </c>
      <c r="O30" s="53">
        <f t="shared" si="23"/>
        <v>29529.7875</v>
      </c>
      <c r="P30" s="53">
        <f t="shared" si="23"/>
        <v>29529.7875</v>
      </c>
    </row>
    <row r="31">
      <c r="A31" s="62" t="s">
        <v>43</v>
      </c>
      <c r="B31" s="53">
        <f>B25-B28</f>
        <v>24228.9885</v>
      </c>
      <c r="C31" s="53">
        <f>C25-C28+B31</f>
        <v>343959.1635</v>
      </c>
      <c r="D31" s="54"/>
      <c r="E31" s="53">
        <f t="shared" ref="E31:P31" si="24">$B$31+E25-E28</f>
        <v>50657.826</v>
      </c>
      <c r="F31" s="53">
        <f t="shared" si="24"/>
        <v>77086.6635</v>
      </c>
      <c r="G31" s="53">
        <f t="shared" si="24"/>
        <v>103515.501</v>
      </c>
      <c r="H31" s="53">
        <f t="shared" si="24"/>
        <v>129944.3385</v>
      </c>
      <c r="I31" s="53">
        <f t="shared" si="24"/>
        <v>156373.176</v>
      </c>
      <c r="J31" s="53">
        <f t="shared" si="24"/>
        <v>182802.0135</v>
      </c>
      <c r="K31" s="53">
        <f t="shared" si="24"/>
        <v>212331.801</v>
      </c>
      <c r="L31" s="53">
        <f t="shared" si="24"/>
        <v>241861.5885</v>
      </c>
      <c r="M31" s="53">
        <f t="shared" si="24"/>
        <v>271391.376</v>
      </c>
      <c r="N31" s="53">
        <f t="shared" si="24"/>
        <v>300921.1635</v>
      </c>
      <c r="O31" s="53">
        <f t="shared" si="24"/>
        <v>330450.951</v>
      </c>
      <c r="P31" s="53">
        <f t="shared" si="24"/>
        <v>359980.7385</v>
      </c>
    </row>
    <row r="32">
      <c r="A32" s="63" t="s">
        <v>65</v>
      </c>
      <c r="B32" s="64"/>
      <c r="C32" s="64"/>
      <c r="D32" s="65"/>
      <c r="E32" s="64">
        <f t="shared" ref="E32:P32" si="25">IFERROR(E24/E27,0)</f>
        <v>1.652563889</v>
      </c>
      <c r="F32" s="64">
        <f t="shared" si="25"/>
        <v>1.652563889</v>
      </c>
      <c r="G32" s="64">
        <f t="shared" si="25"/>
        <v>1.652563889</v>
      </c>
      <c r="H32" s="64">
        <f t="shared" si="25"/>
        <v>1.652563889</v>
      </c>
      <c r="I32" s="64">
        <f t="shared" si="25"/>
        <v>1.652563889</v>
      </c>
      <c r="J32" s="64">
        <f t="shared" si="25"/>
        <v>1.652563889</v>
      </c>
      <c r="K32" s="64">
        <f t="shared" si="25"/>
        <v>1.729130556</v>
      </c>
      <c r="L32" s="64">
        <f t="shared" si="25"/>
        <v>1.729130556</v>
      </c>
      <c r="M32" s="64">
        <f t="shared" si="25"/>
        <v>1.729130556</v>
      </c>
      <c r="N32" s="64">
        <f t="shared" si="25"/>
        <v>1.729130556</v>
      </c>
      <c r="O32" s="64">
        <f t="shared" si="25"/>
        <v>1.729130556</v>
      </c>
      <c r="P32" s="64">
        <f t="shared" si="25"/>
        <v>1.729130556</v>
      </c>
    </row>
    <row r="33">
      <c r="A33" s="63" t="s">
        <v>66</v>
      </c>
      <c r="B33" s="64">
        <f t="shared" ref="B33:C33" si="26">IFERROR(B25/B28,0)</f>
        <v>1.050139469</v>
      </c>
      <c r="C33" s="64">
        <f t="shared" si="26"/>
        <v>1.657881019</v>
      </c>
      <c r="D33" s="65"/>
      <c r="E33" s="64">
        <f t="shared" ref="E33:P33" si="27">IFERROR(E25/E28,0)</f>
        <v>1.652563889</v>
      </c>
      <c r="F33" s="64">
        <f t="shared" si="27"/>
        <v>1.652563889</v>
      </c>
      <c r="G33" s="64">
        <f t="shared" si="27"/>
        <v>1.652563889</v>
      </c>
      <c r="H33" s="64">
        <f t="shared" si="27"/>
        <v>1.652563889</v>
      </c>
      <c r="I33" s="64">
        <f t="shared" si="27"/>
        <v>1.652563889</v>
      </c>
      <c r="J33" s="64">
        <f t="shared" si="27"/>
        <v>1.652563889</v>
      </c>
      <c r="K33" s="64">
        <f t="shared" si="27"/>
        <v>1.663501984</v>
      </c>
      <c r="L33" s="64">
        <f t="shared" si="27"/>
        <v>1.671705556</v>
      </c>
      <c r="M33" s="64">
        <f t="shared" si="27"/>
        <v>1.678086111</v>
      </c>
      <c r="N33" s="64">
        <f t="shared" si="27"/>
        <v>1.683190556</v>
      </c>
      <c r="O33" s="64">
        <f t="shared" si="27"/>
        <v>1.687366919</v>
      </c>
      <c r="P33" s="64">
        <f t="shared" si="27"/>
        <v>1.690847222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>
      <c r="A35" s="34"/>
      <c r="B35" s="67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ht="49.5" customHeight="1">
      <c r="A36" s="34"/>
      <c r="B36" s="67"/>
      <c r="C36" s="34"/>
      <c r="D36" s="34"/>
      <c r="E36" s="34"/>
      <c r="F36" s="68"/>
      <c r="G36" s="68"/>
      <c r="H36" s="34"/>
      <c r="I36" s="34"/>
      <c r="J36" s="34"/>
      <c r="K36" s="34"/>
      <c r="L36" s="34"/>
      <c r="M36" s="34"/>
      <c r="N36" s="34"/>
      <c r="O36" s="34"/>
      <c r="P36" s="34"/>
    </row>
    <row r="37" ht="15.75" customHeight="1">
      <c r="A37" s="34"/>
      <c r="B37" s="34"/>
      <c r="C37" s="34"/>
      <c r="D37" s="34"/>
      <c r="E37" s="41"/>
      <c r="F37" s="68"/>
      <c r="G37" s="68"/>
      <c r="H37" s="41"/>
      <c r="I37" s="41"/>
      <c r="J37" s="41"/>
      <c r="K37" s="41"/>
      <c r="L37" s="41"/>
      <c r="M37" s="41"/>
      <c r="N37" s="41"/>
      <c r="O37" s="41"/>
      <c r="P37" s="41"/>
    </row>
    <row r="38">
      <c r="A38" s="34"/>
      <c r="B38" s="34"/>
      <c r="C38" s="34"/>
      <c r="D38" s="34"/>
      <c r="E38" s="41"/>
      <c r="F38" s="34"/>
      <c r="G38" s="41"/>
      <c r="H38" s="69"/>
      <c r="I38" s="69"/>
      <c r="J38" s="69"/>
      <c r="K38" s="69"/>
      <c r="L38" s="69"/>
      <c r="M38" s="69"/>
      <c r="N38" s="69"/>
      <c r="O38" s="69"/>
      <c r="P38" s="69"/>
    </row>
    <row r="39">
      <c r="A39" s="34"/>
      <c r="B39" s="34"/>
      <c r="C39" s="34"/>
      <c r="D39" s="34"/>
      <c r="E39" s="41"/>
      <c r="F39" s="34"/>
      <c r="G39" s="41"/>
      <c r="H39" s="69"/>
      <c r="I39" s="69"/>
      <c r="J39" s="69"/>
      <c r="K39" s="69"/>
      <c r="L39" s="69"/>
      <c r="M39" s="69"/>
      <c r="N39" s="69"/>
      <c r="O39" s="69"/>
      <c r="P39" s="69"/>
    </row>
    <row r="40">
      <c r="A40" s="34"/>
      <c r="B40" s="41"/>
      <c r="C40" s="34"/>
      <c r="D40" s="34"/>
      <c r="E40" s="34"/>
      <c r="F40" s="34"/>
      <c r="G40" s="41"/>
      <c r="H40" s="41"/>
      <c r="I40" s="41"/>
      <c r="J40" s="41"/>
      <c r="K40" s="41"/>
      <c r="L40" s="41"/>
      <c r="M40" s="41"/>
      <c r="N40" s="41"/>
      <c r="O40" s="41"/>
      <c r="P40" s="41"/>
    </row>
    <row r="41">
      <c r="A41" s="34"/>
      <c r="B41" s="34"/>
      <c r="C41" s="34"/>
      <c r="D41" s="34"/>
      <c r="E41" s="34"/>
      <c r="F41" s="34"/>
      <c r="G41" s="34"/>
      <c r="H41" s="68"/>
      <c r="I41" s="68"/>
      <c r="J41" s="68"/>
      <c r="K41" s="68"/>
      <c r="L41" s="68"/>
      <c r="M41" s="68"/>
      <c r="N41" s="68"/>
      <c r="O41" s="68"/>
      <c r="P41" s="68"/>
    </row>
    <row r="42">
      <c r="A42" s="34"/>
      <c r="B42" s="34"/>
      <c r="C42" s="34"/>
      <c r="D42" s="34"/>
      <c r="E42" s="34"/>
      <c r="F42" s="34"/>
      <c r="G42" s="34"/>
      <c r="H42" s="68"/>
      <c r="I42" s="68"/>
      <c r="J42" s="68"/>
      <c r="K42" s="68"/>
      <c r="L42" s="68"/>
      <c r="M42" s="68"/>
      <c r="N42" s="68"/>
      <c r="O42" s="68"/>
      <c r="P42" s="68"/>
    </row>
    <row r="43">
      <c r="A43" s="34"/>
      <c r="B43" s="34"/>
      <c r="C43" s="34"/>
      <c r="D43" s="34"/>
      <c r="E43" s="34"/>
      <c r="F43" s="34"/>
      <c r="G43" s="34"/>
      <c r="H43" s="68"/>
      <c r="I43" s="68"/>
      <c r="J43" s="68"/>
      <c r="K43" s="68"/>
      <c r="L43" s="68"/>
      <c r="M43" s="68"/>
      <c r="N43" s="68"/>
      <c r="O43" s="68"/>
      <c r="P43" s="68"/>
    </row>
    <row r="44">
      <c r="A44" s="34"/>
      <c r="B44" s="34"/>
      <c r="C44" s="34"/>
      <c r="D44" s="34"/>
      <c r="E44" s="34"/>
      <c r="F44" s="34"/>
      <c r="G44" s="34"/>
      <c r="H44" s="68"/>
      <c r="I44" s="68"/>
      <c r="J44" s="68"/>
      <c r="K44" s="68"/>
      <c r="L44" s="68"/>
      <c r="M44" s="68"/>
      <c r="N44" s="68"/>
      <c r="O44" s="68"/>
      <c r="P44" s="68"/>
    </row>
    <row r="45">
      <c r="A45" s="34"/>
      <c r="B45" s="34"/>
      <c r="C45" s="34"/>
      <c r="D45" s="34"/>
      <c r="E45" s="34"/>
      <c r="F45" s="34"/>
      <c r="G45" s="34"/>
      <c r="H45" s="68"/>
      <c r="I45" s="68"/>
      <c r="J45" s="68"/>
      <c r="K45" s="68"/>
      <c r="L45" s="68"/>
      <c r="M45" s="68"/>
      <c r="N45" s="68"/>
      <c r="O45" s="68"/>
      <c r="P45" s="68"/>
    </row>
    <row r="46">
      <c r="A46" s="34"/>
      <c r="B46" s="34"/>
      <c r="C46" s="34"/>
      <c r="D46" s="34"/>
      <c r="E46" s="34"/>
      <c r="F46" s="34"/>
      <c r="G46" s="34"/>
      <c r="H46" s="68"/>
      <c r="I46" s="68"/>
      <c r="J46" s="68"/>
      <c r="K46" s="68"/>
      <c r="L46" s="68"/>
      <c r="M46" s="68"/>
      <c r="N46" s="68"/>
      <c r="O46" s="68"/>
      <c r="P46" s="68"/>
    </row>
    <row r="47">
      <c r="A47" s="34"/>
      <c r="B47" s="34"/>
      <c r="C47" s="34"/>
      <c r="D47" s="34"/>
      <c r="E47" s="34"/>
      <c r="F47" s="34"/>
      <c r="G47" s="34"/>
      <c r="H47" s="68"/>
      <c r="I47" s="68"/>
      <c r="J47" s="68"/>
      <c r="K47" s="68"/>
      <c r="L47" s="68"/>
      <c r="M47" s="68"/>
      <c r="N47" s="68"/>
      <c r="O47" s="68"/>
      <c r="P47" s="68"/>
    </row>
    <row r="48">
      <c r="A48" s="34"/>
      <c r="B48" s="34"/>
      <c r="C48" s="34"/>
      <c r="D48" s="34"/>
      <c r="E48" s="34"/>
      <c r="F48" s="34"/>
      <c r="G48" s="34"/>
      <c r="H48" s="68"/>
      <c r="I48" s="68"/>
      <c r="J48" s="68"/>
      <c r="K48" s="68"/>
      <c r="L48" s="68"/>
      <c r="M48" s="68"/>
      <c r="N48" s="68"/>
      <c r="O48" s="68"/>
      <c r="P48" s="68"/>
    </row>
    <row r="49">
      <c r="A49" s="34"/>
      <c r="B49" s="34"/>
      <c r="C49" s="34"/>
      <c r="D49" s="34"/>
      <c r="E49" s="34"/>
      <c r="F49" s="34"/>
      <c r="G49" s="34"/>
      <c r="H49" s="68"/>
      <c r="I49" s="68"/>
      <c r="J49" s="68"/>
      <c r="K49" s="68"/>
      <c r="L49" s="68"/>
      <c r="M49" s="68"/>
      <c r="N49" s="68"/>
      <c r="O49" s="68"/>
      <c r="P49" s="68"/>
    </row>
    <row r="50">
      <c r="A50" s="34"/>
      <c r="B50" s="34"/>
      <c r="C50" s="34"/>
      <c r="D50" s="34"/>
      <c r="E50" s="34"/>
      <c r="F50" s="34"/>
      <c r="G50" s="34"/>
      <c r="H50" s="68"/>
      <c r="I50" s="68"/>
      <c r="J50" s="68"/>
      <c r="K50" s="68"/>
      <c r="L50" s="68"/>
      <c r="M50" s="68"/>
      <c r="N50" s="68"/>
      <c r="O50" s="68"/>
      <c r="P50" s="68"/>
    </row>
    <row r="51">
      <c r="A51" s="34"/>
      <c r="B51" s="34"/>
      <c r="C51" s="34"/>
      <c r="D51" s="34"/>
      <c r="E51" s="34"/>
      <c r="F51" s="34"/>
      <c r="G51" s="34"/>
      <c r="H51" s="68"/>
      <c r="I51" s="68"/>
      <c r="J51" s="68"/>
      <c r="K51" s="68"/>
      <c r="L51" s="68"/>
      <c r="M51" s="68"/>
      <c r="N51" s="68"/>
      <c r="O51" s="68"/>
      <c r="P51" s="68"/>
    </row>
    <row r="52">
      <c r="A52" s="34"/>
      <c r="B52" s="34"/>
      <c r="C52" s="34"/>
      <c r="D52" s="34"/>
      <c r="E52" s="34"/>
      <c r="F52" s="34"/>
      <c r="G52" s="34"/>
      <c r="H52" s="68"/>
      <c r="I52" s="68"/>
      <c r="J52" s="68"/>
      <c r="K52" s="68"/>
      <c r="L52" s="68"/>
      <c r="M52" s="68"/>
      <c r="N52" s="68"/>
      <c r="O52" s="68"/>
      <c r="P52" s="68"/>
    </row>
    <row r="53">
      <c r="A53" s="34"/>
      <c r="B53" s="34"/>
      <c r="C53" s="34"/>
      <c r="D53" s="34"/>
      <c r="E53" s="34"/>
      <c r="F53" s="34"/>
      <c r="G53" s="34"/>
      <c r="H53" s="68"/>
      <c r="I53" s="68"/>
      <c r="J53" s="68"/>
      <c r="K53" s="68"/>
      <c r="L53" s="68"/>
      <c r="M53" s="68"/>
      <c r="N53" s="68"/>
      <c r="O53" s="68"/>
      <c r="P53" s="68"/>
    </row>
    <row r="54">
      <c r="A54" s="34"/>
      <c r="B54" s="34"/>
      <c r="C54" s="34"/>
      <c r="D54" s="34"/>
      <c r="E54" s="34"/>
      <c r="F54" s="34"/>
      <c r="G54" s="34"/>
      <c r="H54" s="68"/>
      <c r="I54" s="68"/>
      <c r="J54" s="68"/>
      <c r="K54" s="68"/>
      <c r="L54" s="68"/>
      <c r="M54" s="68"/>
      <c r="N54" s="68"/>
      <c r="O54" s="68"/>
      <c r="P54" s="68"/>
    </row>
    <row r="55">
      <c r="A55" s="34"/>
      <c r="B55" s="34"/>
      <c r="C55" s="34"/>
      <c r="D55" s="34"/>
      <c r="E55" s="34"/>
      <c r="F55" s="34"/>
      <c r="G55" s="34"/>
      <c r="H55" s="68"/>
      <c r="I55" s="68"/>
      <c r="J55" s="68"/>
      <c r="K55" s="68"/>
      <c r="L55" s="68"/>
      <c r="M55" s="68"/>
      <c r="N55" s="68"/>
      <c r="O55" s="68"/>
      <c r="P55" s="68"/>
    </row>
    <row r="56">
      <c r="A56" s="34"/>
      <c r="B56" s="34"/>
      <c r="C56" s="34"/>
      <c r="D56" s="34"/>
      <c r="E56" s="34"/>
      <c r="F56" s="34"/>
      <c r="G56" s="34"/>
      <c r="H56" s="68"/>
      <c r="I56" s="68"/>
      <c r="J56" s="68"/>
      <c r="K56" s="68"/>
      <c r="L56" s="68"/>
      <c r="M56" s="68"/>
      <c r="N56" s="68"/>
      <c r="O56" s="68"/>
      <c r="P56" s="68"/>
    </row>
    <row r="57">
      <c r="A57" s="34"/>
      <c r="B57" s="34"/>
      <c r="C57" s="34"/>
      <c r="D57" s="34"/>
      <c r="E57" s="34"/>
      <c r="F57" s="34"/>
      <c r="G57" s="34"/>
      <c r="H57" s="68"/>
      <c r="I57" s="68"/>
      <c r="J57" s="68"/>
      <c r="K57" s="68"/>
      <c r="L57" s="68"/>
      <c r="M57" s="68"/>
      <c r="N57" s="68"/>
      <c r="O57" s="68"/>
      <c r="P57" s="68"/>
    </row>
    <row r="58">
      <c r="A58" s="34"/>
      <c r="B58" s="34"/>
      <c r="C58" s="34"/>
      <c r="D58" s="34"/>
      <c r="E58" s="34"/>
      <c r="F58" s="34"/>
      <c r="G58" s="34"/>
      <c r="H58" s="68"/>
      <c r="I58" s="68"/>
      <c r="J58" s="68"/>
      <c r="K58" s="68"/>
      <c r="L58" s="68"/>
      <c r="M58" s="68"/>
      <c r="N58" s="68"/>
      <c r="O58" s="68"/>
      <c r="P58" s="68"/>
    </row>
    <row r="59">
      <c r="A59" s="34"/>
      <c r="B59" s="34"/>
      <c r="C59" s="34"/>
      <c r="D59" s="34"/>
      <c r="E59" s="34"/>
      <c r="F59" s="34"/>
      <c r="G59" s="34"/>
      <c r="H59" s="68"/>
      <c r="I59" s="68"/>
      <c r="J59" s="68"/>
      <c r="K59" s="68"/>
      <c r="L59" s="68"/>
      <c r="M59" s="68"/>
      <c r="N59" s="68"/>
      <c r="O59" s="68"/>
      <c r="P59" s="68"/>
    </row>
    <row r="60">
      <c r="A60" s="34"/>
      <c r="B60" s="34"/>
      <c r="C60" s="34"/>
      <c r="D60" s="34"/>
      <c r="E60" s="34"/>
      <c r="F60" s="34"/>
      <c r="G60" s="34"/>
      <c r="H60" s="68"/>
      <c r="I60" s="68"/>
      <c r="J60" s="68"/>
      <c r="K60" s="68"/>
      <c r="L60" s="68"/>
      <c r="M60" s="68"/>
      <c r="N60" s="68"/>
      <c r="O60" s="68"/>
      <c r="P60" s="68"/>
    </row>
    <row r="61">
      <c r="A61" s="34"/>
      <c r="B61" s="34"/>
      <c r="C61" s="34"/>
      <c r="D61" s="34"/>
      <c r="E61" s="34"/>
      <c r="F61" s="34"/>
      <c r="G61" s="34"/>
      <c r="H61" s="68"/>
      <c r="I61" s="68"/>
      <c r="J61" s="68"/>
      <c r="K61" s="68"/>
      <c r="L61" s="68"/>
      <c r="M61" s="68"/>
      <c r="N61" s="68"/>
      <c r="O61" s="68"/>
      <c r="P61" s="68"/>
    </row>
    <row r="62">
      <c r="A62" s="34"/>
      <c r="B62" s="34"/>
      <c r="C62" s="34"/>
      <c r="D62" s="34"/>
      <c r="E62" s="34"/>
      <c r="F62" s="34"/>
      <c r="G62" s="34"/>
      <c r="H62" s="68"/>
      <c r="I62" s="68"/>
      <c r="J62" s="68"/>
      <c r="K62" s="68"/>
      <c r="L62" s="68"/>
      <c r="M62" s="68"/>
      <c r="N62" s="68"/>
      <c r="O62" s="68"/>
      <c r="P62" s="68"/>
    </row>
    <row r="63">
      <c r="A63" s="34"/>
      <c r="B63" s="34"/>
      <c r="C63" s="34"/>
      <c r="D63" s="34"/>
      <c r="E63" s="34"/>
      <c r="F63" s="34"/>
      <c r="G63" s="34"/>
      <c r="H63" s="68"/>
      <c r="I63" s="68"/>
      <c r="J63" s="68"/>
      <c r="K63" s="68"/>
      <c r="L63" s="68"/>
      <c r="M63" s="68"/>
      <c r="N63" s="68"/>
      <c r="O63" s="68"/>
      <c r="P63" s="68"/>
    </row>
    <row r="64">
      <c r="A64" s="34"/>
      <c r="B64" s="34"/>
      <c r="C64" s="34"/>
      <c r="D64" s="34"/>
      <c r="E64" s="34"/>
      <c r="F64" s="34"/>
      <c r="G64" s="34"/>
      <c r="H64" s="68"/>
      <c r="I64" s="68"/>
      <c r="J64" s="68"/>
      <c r="K64" s="68"/>
      <c r="L64" s="68"/>
      <c r="M64" s="68"/>
      <c r="N64" s="68"/>
      <c r="O64" s="68"/>
      <c r="P64" s="68"/>
    </row>
    <row r="65">
      <c r="A65" s="34"/>
      <c r="B65" s="34"/>
      <c r="C65" s="34"/>
      <c r="D65" s="34"/>
      <c r="E65" s="34"/>
      <c r="F65" s="34"/>
      <c r="G65" s="34"/>
      <c r="H65" s="68"/>
      <c r="I65" s="68"/>
      <c r="J65" s="68"/>
      <c r="K65" s="68"/>
      <c r="L65" s="68"/>
      <c r="M65" s="68"/>
      <c r="N65" s="68"/>
      <c r="O65" s="68"/>
      <c r="P65" s="68"/>
    </row>
    <row r="66">
      <c r="A66" s="34"/>
      <c r="B66" s="34"/>
      <c r="C66" s="34"/>
      <c r="D66" s="34"/>
      <c r="E66" s="34"/>
      <c r="F66" s="34"/>
      <c r="G66" s="34"/>
      <c r="H66" s="68"/>
      <c r="I66" s="68"/>
      <c r="J66" s="68"/>
      <c r="K66" s="68"/>
      <c r="L66" s="68"/>
      <c r="M66" s="68"/>
      <c r="N66" s="68"/>
      <c r="O66" s="68"/>
      <c r="P66" s="68"/>
    </row>
    <row r="67">
      <c r="A67" s="34"/>
      <c r="B67" s="34"/>
      <c r="C67" s="34"/>
      <c r="D67" s="34"/>
      <c r="E67" s="34"/>
      <c r="F67" s="34"/>
      <c r="G67" s="34"/>
      <c r="H67" s="68"/>
      <c r="I67" s="68"/>
      <c r="J67" s="68"/>
      <c r="K67" s="68"/>
      <c r="L67" s="68"/>
      <c r="M67" s="68"/>
      <c r="N67" s="68"/>
      <c r="O67" s="68"/>
      <c r="P67" s="68"/>
    </row>
    <row r="68">
      <c r="A68" s="34"/>
      <c r="B68" s="34"/>
      <c r="C68" s="34"/>
      <c r="D68" s="34"/>
      <c r="E68" s="34"/>
      <c r="F68" s="34"/>
      <c r="G68" s="34"/>
      <c r="H68" s="68"/>
      <c r="I68" s="68"/>
      <c r="J68" s="68"/>
      <c r="K68" s="68"/>
      <c r="L68" s="68"/>
      <c r="M68" s="68"/>
      <c r="N68" s="68"/>
      <c r="O68" s="68"/>
      <c r="P68" s="68"/>
    </row>
    <row r="69">
      <c r="A69" s="34"/>
      <c r="B69" s="34"/>
      <c r="C69" s="34"/>
      <c r="D69" s="34"/>
      <c r="E69" s="34"/>
      <c r="F69" s="34"/>
      <c r="G69" s="34"/>
      <c r="H69" s="68"/>
      <c r="I69" s="68"/>
      <c r="J69" s="68"/>
      <c r="K69" s="68"/>
      <c r="L69" s="68"/>
      <c r="M69" s="68"/>
      <c r="N69" s="68"/>
      <c r="O69" s="68"/>
      <c r="P69" s="68"/>
    </row>
    <row r="70">
      <c r="A70" s="34"/>
      <c r="B70" s="34"/>
      <c r="C70" s="34"/>
      <c r="D70" s="34"/>
      <c r="E70" s="34"/>
      <c r="F70" s="34"/>
      <c r="G70" s="34"/>
      <c r="H70" s="68"/>
      <c r="I70" s="68"/>
      <c r="J70" s="68"/>
      <c r="K70" s="68"/>
      <c r="L70" s="68"/>
      <c r="M70" s="68"/>
      <c r="N70" s="68"/>
      <c r="O70" s="68"/>
      <c r="P70" s="68"/>
    </row>
    <row r="71">
      <c r="A71" s="34"/>
      <c r="B71" s="34"/>
      <c r="C71" s="34"/>
      <c r="D71" s="34"/>
      <c r="E71" s="34"/>
      <c r="F71" s="34"/>
      <c r="G71" s="34"/>
      <c r="H71" s="68"/>
      <c r="I71" s="68"/>
      <c r="J71" s="68"/>
      <c r="K71" s="68"/>
      <c r="L71" s="68"/>
      <c r="M71" s="68"/>
      <c r="N71" s="68"/>
      <c r="O71" s="68"/>
      <c r="P71" s="68"/>
    </row>
    <row r="72">
      <c r="A72" s="34"/>
      <c r="B72" s="34"/>
      <c r="C72" s="34"/>
      <c r="D72" s="34"/>
      <c r="E72" s="34"/>
      <c r="F72" s="34"/>
      <c r="G72" s="34"/>
      <c r="H72" s="68"/>
      <c r="I72" s="68"/>
      <c r="J72" s="68"/>
      <c r="K72" s="68"/>
      <c r="L72" s="68"/>
      <c r="M72" s="68"/>
      <c r="N72" s="68"/>
      <c r="O72" s="68"/>
      <c r="P72" s="68"/>
    </row>
    <row r="73">
      <c r="A73" s="34"/>
      <c r="B73" s="34"/>
      <c r="C73" s="34"/>
      <c r="D73" s="34"/>
      <c r="E73" s="34"/>
      <c r="F73" s="34"/>
      <c r="G73" s="34"/>
      <c r="H73" s="68"/>
      <c r="I73" s="68"/>
      <c r="J73" s="68"/>
      <c r="K73" s="68"/>
      <c r="L73" s="68"/>
      <c r="M73" s="68"/>
      <c r="N73" s="68"/>
      <c r="O73" s="68"/>
      <c r="P73" s="68"/>
    </row>
    <row r="74">
      <c r="A74" s="34"/>
      <c r="B74" s="34"/>
      <c r="C74" s="34"/>
      <c r="D74" s="34"/>
      <c r="E74" s="34"/>
      <c r="F74" s="34"/>
      <c r="G74" s="34"/>
      <c r="H74" s="68"/>
      <c r="I74" s="68"/>
      <c r="J74" s="68"/>
      <c r="K74" s="68"/>
      <c r="L74" s="68"/>
      <c r="M74" s="68"/>
      <c r="N74" s="68"/>
      <c r="O74" s="68"/>
      <c r="P74" s="68"/>
    </row>
    <row r="75">
      <c r="A75" s="34"/>
      <c r="B75" s="34"/>
      <c r="C75" s="34"/>
      <c r="D75" s="34"/>
      <c r="E75" s="34"/>
      <c r="F75" s="34"/>
      <c r="G75" s="34"/>
      <c r="H75" s="68"/>
      <c r="I75" s="68"/>
      <c r="J75" s="68"/>
      <c r="K75" s="68"/>
      <c r="L75" s="68"/>
      <c r="M75" s="68"/>
      <c r="N75" s="68"/>
      <c r="O75" s="68"/>
      <c r="P75" s="68"/>
    </row>
    <row r="76">
      <c r="A76" s="34"/>
      <c r="B76" s="34"/>
      <c r="C76" s="34"/>
      <c r="D76" s="34"/>
      <c r="E76" s="34"/>
      <c r="F76" s="34"/>
      <c r="G76" s="34"/>
      <c r="H76" s="68"/>
      <c r="I76" s="68"/>
      <c r="J76" s="68"/>
      <c r="K76" s="68"/>
      <c r="L76" s="68"/>
      <c r="M76" s="68"/>
      <c r="N76" s="68"/>
      <c r="O76" s="68"/>
      <c r="P76" s="68"/>
    </row>
    <row r="77">
      <c r="A77" s="34"/>
      <c r="B77" s="34"/>
      <c r="C77" s="34"/>
      <c r="D77" s="34"/>
      <c r="E77" s="34"/>
      <c r="F77" s="34"/>
      <c r="G77" s="34"/>
      <c r="H77" s="68"/>
      <c r="I77" s="68"/>
      <c r="J77" s="68"/>
      <c r="K77" s="68"/>
      <c r="L77" s="68"/>
      <c r="M77" s="68"/>
      <c r="N77" s="68"/>
      <c r="O77" s="68"/>
      <c r="P77" s="68"/>
    </row>
    <row r="78">
      <c r="A78" s="34"/>
      <c r="B78" s="34"/>
      <c r="C78" s="34"/>
      <c r="D78" s="34"/>
      <c r="E78" s="34"/>
      <c r="F78" s="34"/>
      <c r="G78" s="34"/>
      <c r="H78" s="68"/>
      <c r="I78" s="68"/>
      <c r="J78" s="68"/>
      <c r="K78" s="68"/>
      <c r="L78" s="68"/>
      <c r="M78" s="68"/>
      <c r="N78" s="68"/>
      <c r="O78" s="68"/>
      <c r="P78" s="68"/>
    </row>
    <row r="79">
      <c r="A79" s="34"/>
      <c r="B79" s="34"/>
      <c r="C79" s="34"/>
      <c r="D79" s="34"/>
      <c r="E79" s="34"/>
      <c r="F79" s="34"/>
      <c r="G79" s="34"/>
      <c r="H79" s="68"/>
      <c r="I79" s="68"/>
      <c r="J79" s="68"/>
      <c r="K79" s="68"/>
      <c r="L79" s="68"/>
      <c r="M79" s="68"/>
      <c r="N79" s="68"/>
      <c r="O79" s="68"/>
      <c r="P79" s="68"/>
    </row>
    <row r="80">
      <c r="A80" s="34"/>
      <c r="B80" s="34"/>
      <c r="C80" s="34"/>
      <c r="D80" s="34"/>
      <c r="E80" s="34"/>
      <c r="F80" s="34"/>
      <c r="G80" s="34"/>
      <c r="H80" s="68"/>
      <c r="I80" s="68"/>
      <c r="J80" s="68"/>
      <c r="K80" s="68"/>
      <c r="L80" s="68"/>
      <c r="M80" s="68"/>
      <c r="N80" s="68"/>
      <c r="O80" s="68"/>
      <c r="P80" s="68"/>
    </row>
    <row r="81">
      <c r="A81" s="34"/>
      <c r="B81" s="34"/>
      <c r="C81" s="34"/>
      <c r="D81" s="34"/>
      <c r="E81" s="34"/>
      <c r="F81" s="34"/>
      <c r="G81" s="34"/>
      <c r="H81" s="68"/>
      <c r="I81" s="68"/>
      <c r="J81" s="68"/>
      <c r="K81" s="68"/>
      <c r="L81" s="68"/>
      <c r="M81" s="68"/>
      <c r="N81" s="68"/>
      <c r="O81" s="68"/>
      <c r="P81" s="68"/>
    </row>
    <row r="82">
      <c r="A82" s="34"/>
      <c r="B82" s="34"/>
      <c r="C82" s="34"/>
      <c r="D82" s="34"/>
      <c r="E82" s="34"/>
      <c r="F82" s="34"/>
      <c r="G82" s="34"/>
      <c r="H82" s="68"/>
      <c r="I82" s="68"/>
      <c r="J82" s="68"/>
      <c r="K82" s="68"/>
      <c r="L82" s="68"/>
      <c r="M82" s="68"/>
      <c r="N82" s="68"/>
      <c r="O82" s="68"/>
      <c r="P82" s="68"/>
    </row>
    <row r="83">
      <c r="A83" s="34"/>
      <c r="B83" s="34"/>
      <c r="C83" s="34"/>
      <c r="D83" s="34"/>
      <c r="E83" s="34"/>
      <c r="F83" s="34"/>
      <c r="G83" s="34"/>
      <c r="H83" s="68"/>
      <c r="I83" s="68"/>
      <c r="J83" s="68"/>
      <c r="K83" s="68"/>
      <c r="L83" s="68"/>
      <c r="M83" s="68"/>
      <c r="N83" s="68"/>
      <c r="O83" s="68"/>
      <c r="P83" s="68"/>
    </row>
    <row r="84">
      <c r="A84" s="34"/>
      <c r="B84" s="34"/>
      <c r="C84" s="34"/>
      <c r="D84" s="34"/>
      <c r="E84" s="34"/>
      <c r="F84" s="34"/>
      <c r="G84" s="34"/>
      <c r="H84" s="68"/>
      <c r="I84" s="68"/>
      <c r="J84" s="68"/>
      <c r="K84" s="68"/>
      <c r="L84" s="68"/>
      <c r="M84" s="68"/>
      <c r="N84" s="68"/>
      <c r="O84" s="68"/>
      <c r="P84" s="68"/>
    </row>
    <row r="85">
      <c r="A85" s="34"/>
      <c r="B85" s="34"/>
      <c r="C85" s="34"/>
      <c r="D85" s="34"/>
      <c r="E85" s="34"/>
      <c r="F85" s="34"/>
      <c r="G85" s="34"/>
      <c r="H85" s="68"/>
      <c r="I85" s="68"/>
      <c r="J85" s="68"/>
      <c r="K85" s="68"/>
      <c r="L85" s="68"/>
      <c r="M85" s="68"/>
      <c r="N85" s="68"/>
      <c r="O85" s="68"/>
      <c r="P85" s="68"/>
    </row>
    <row r="86">
      <c r="A86" s="34"/>
      <c r="B86" s="34"/>
      <c r="C86" s="34"/>
      <c r="D86" s="34"/>
      <c r="E86" s="34"/>
      <c r="F86" s="34"/>
      <c r="G86" s="34"/>
      <c r="H86" s="68"/>
      <c r="I86" s="68"/>
      <c r="J86" s="68"/>
      <c r="K86" s="68"/>
      <c r="L86" s="68"/>
      <c r="M86" s="68"/>
      <c r="N86" s="68"/>
      <c r="O86" s="68"/>
      <c r="P86" s="68"/>
    </row>
    <row r="87">
      <c r="A87" s="34"/>
      <c r="B87" s="34"/>
      <c r="C87" s="34"/>
      <c r="D87" s="34"/>
      <c r="E87" s="34"/>
      <c r="F87" s="34"/>
      <c r="G87" s="34"/>
      <c r="H87" s="68"/>
      <c r="I87" s="68"/>
      <c r="J87" s="68"/>
      <c r="K87" s="68"/>
      <c r="L87" s="68"/>
      <c r="M87" s="68"/>
      <c r="N87" s="68"/>
      <c r="O87" s="68"/>
      <c r="P87" s="68"/>
    </row>
    <row r="88">
      <c r="A88" s="34"/>
      <c r="B88" s="34"/>
      <c r="C88" s="34"/>
      <c r="D88" s="34"/>
      <c r="E88" s="34"/>
      <c r="F88" s="34"/>
      <c r="G88" s="34"/>
      <c r="H88" s="68"/>
      <c r="I88" s="68"/>
      <c r="J88" s="68"/>
      <c r="K88" s="68"/>
      <c r="L88" s="68"/>
      <c r="M88" s="68"/>
      <c r="N88" s="68"/>
      <c r="O88" s="68"/>
      <c r="P88" s="68"/>
    </row>
    <row r="89">
      <c r="A89" s="34"/>
      <c r="B89" s="34"/>
      <c r="C89" s="34"/>
      <c r="D89" s="34"/>
      <c r="E89" s="34"/>
      <c r="F89" s="34"/>
      <c r="G89" s="34"/>
      <c r="H89" s="68"/>
      <c r="I89" s="68"/>
      <c r="J89" s="68"/>
      <c r="K89" s="68"/>
      <c r="L89" s="68"/>
      <c r="M89" s="68"/>
      <c r="N89" s="68"/>
      <c r="O89" s="68"/>
      <c r="P89" s="68"/>
    </row>
    <row r="90">
      <c r="A90" s="34"/>
      <c r="B90" s="34"/>
      <c r="C90" s="34"/>
      <c r="D90" s="34"/>
      <c r="E90" s="34"/>
      <c r="F90" s="34"/>
      <c r="G90" s="34"/>
      <c r="H90" s="68"/>
      <c r="I90" s="68"/>
      <c r="J90" s="68"/>
      <c r="K90" s="68"/>
      <c r="L90" s="68"/>
      <c r="M90" s="68"/>
      <c r="N90" s="68"/>
      <c r="O90" s="68"/>
      <c r="P90" s="68"/>
    </row>
    <row r="91">
      <c r="A91" s="34"/>
      <c r="B91" s="34"/>
      <c r="C91" s="34"/>
      <c r="D91" s="34"/>
      <c r="E91" s="34"/>
      <c r="F91" s="34"/>
      <c r="G91" s="34"/>
      <c r="H91" s="68"/>
      <c r="I91" s="68"/>
      <c r="J91" s="68"/>
      <c r="K91" s="68"/>
      <c r="L91" s="68"/>
      <c r="M91" s="68"/>
      <c r="N91" s="68"/>
      <c r="O91" s="68"/>
      <c r="P91" s="68"/>
    </row>
    <row r="92">
      <c r="A92" s="34"/>
      <c r="B92" s="34"/>
      <c r="C92" s="34"/>
      <c r="D92" s="34"/>
      <c r="E92" s="34"/>
      <c r="F92" s="34"/>
      <c r="G92" s="34"/>
      <c r="H92" s="68"/>
      <c r="I92" s="68"/>
      <c r="J92" s="68"/>
      <c r="K92" s="68"/>
      <c r="L92" s="68"/>
      <c r="M92" s="68"/>
      <c r="N92" s="68"/>
      <c r="O92" s="68"/>
      <c r="P92" s="68"/>
    </row>
    <row r="93">
      <c r="A93" s="34"/>
      <c r="B93" s="34"/>
      <c r="C93" s="34"/>
      <c r="D93" s="34"/>
      <c r="E93" s="34"/>
      <c r="F93" s="34"/>
      <c r="G93" s="34"/>
      <c r="H93" s="68"/>
      <c r="I93" s="68"/>
      <c r="J93" s="68"/>
      <c r="K93" s="68"/>
      <c r="L93" s="68"/>
      <c r="M93" s="68"/>
      <c r="N93" s="68"/>
      <c r="O93" s="68"/>
      <c r="P93" s="68"/>
    </row>
    <row r="94">
      <c r="A94" s="34"/>
      <c r="B94" s="34"/>
      <c r="C94" s="34"/>
      <c r="D94" s="34"/>
      <c r="E94" s="34"/>
      <c r="F94" s="34"/>
      <c r="G94" s="34"/>
      <c r="H94" s="68"/>
      <c r="I94" s="68"/>
      <c r="J94" s="68"/>
      <c r="K94" s="68"/>
      <c r="L94" s="68"/>
      <c r="M94" s="68"/>
      <c r="N94" s="68"/>
      <c r="O94" s="68"/>
      <c r="P94" s="68"/>
    </row>
    <row r="95">
      <c r="A95" s="34"/>
      <c r="B95" s="34"/>
      <c r="C95" s="34"/>
      <c r="D95" s="34"/>
      <c r="E95" s="34"/>
      <c r="F95" s="34"/>
      <c r="G95" s="34"/>
      <c r="H95" s="68"/>
      <c r="I95" s="68"/>
      <c r="J95" s="68"/>
      <c r="K95" s="68"/>
      <c r="L95" s="68"/>
      <c r="M95" s="68"/>
      <c r="N95" s="68"/>
      <c r="O95" s="68"/>
      <c r="P95" s="68"/>
    </row>
    <row r="96">
      <c r="A96" s="34"/>
      <c r="B96" s="34"/>
      <c r="C96" s="34"/>
      <c r="D96" s="34"/>
      <c r="E96" s="34"/>
      <c r="F96" s="34"/>
      <c r="G96" s="34"/>
      <c r="H96" s="68"/>
      <c r="I96" s="68"/>
      <c r="J96" s="68"/>
      <c r="K96" s="68"/>
      <c r="L96" s="68"/>
      <c r="M96" s="68"/>
      <c r="N96" s="68"/>
      <c r="O96" s="68"/>
      <c r="P96" s="68"/>
    </row>
    <row r="97">
      <c r="A97" s="34"/>
      <c r="B97" s="34"/>
      <c r="C97" s="34"/>
      <c r="D97" s="34"/>
      <c r="E97" s="34"/>
      <c r="F97" s="34"/>
      <c r="G97" s="34"/>
      <c r="H97" s="68"/>
      <c r="I97" s="68"/>
      <c r="J97" s="68"/>
      <c r="K97" s="68"/>
      <c r="L97" s="68"/>
      <c r="M97" s="68"/>
      <c r="N97" s="68"/>
      <c r="O97" s="68"/>
      <c r="P97" s="68"/>
    </row>
    <row r="98">
      <c r="A98" s="34"/>
      <c r="B98" s="34"/>
      <c r="C98" s="34"/>
      <c r="D98" s="34"/>
      <c r="E98" s="34"/>
      <c r="F98" s="34"/>
      <c r="G98" s="34"/>
      <c r="H98" s="68"/>
      <c r="I98" s="68"/>
      <c r="J98" s="68"/>
      <c r="K98" s="68"/>
      <c r="L98" s="68"/>
      <c r="M98" s="68"/>
      <c r="N98" s="68"/>
      <c r="O98" s="68"/>
      <c r="P98" s="68"/>
    </row>
    <row r="99">
      <c r="A99" s="34"/>
      <c r="B99" s="34"/>
      <c r="C99" s="34"/>
      <c r="D99" s="34"/>
      <c r="E99" s="34"/>
      <c r="F99" s="34"/>
      <c r="G99" s="34"/>
      <c r="H99" s="68"/>
      <c r="I99" s="68"/>
      <c r="J99" s="68"/>
      <c r="K99" s="68"/>
      <c r="L99" s="68"/>
      <c r="M99" s="68"/>
      <c r="N99" s="68"/>
      <c r="O99" s="68"/>
      <c r="P99" s="68"/>
    </row>
    <row r="100">
      <c r="A100" s="34"/>
      <c r="B100" s="34"/>
      <c r="C100" s="34"/>
      <c r="D100" s="34"/>
      <c r="E100" s="34"/>
      <c r="F100" s="34"/>
      <c r="G100" s="34"/>
      <c r="H100" s="68"/>
      <c r="I100" s="68"/>
      <c r="J100" s="68"/>
      <c r="K100" s="68"/>
      <c r="L100" s="68"/>
      <c r="M100" s="68"/>
      <c r="N100" s="68"/>
      <c r="O100" s="68"/>
      <c r="P100" s="68"/>
    </row>
    <row r="101">
      <c r="A101" s="34"/>
      <c r="B101" s="34"/>
      <c r="C101" s="34"/>
      <c r="D101" s="34"/>
      <c r="E101" s="34"/>
      <c r="F101" s="34"/>
      <c r="G101" s="34"/>
      <c r="H101" s="68"/>
      <c r="I101" s="68"/>
      <c r="J101" s="68"/>
      <c r="K101" s="68"/>
      <c r="L101" s="68"/>
      <c r="M101" s="68"/>
      <c r="N101" s="68"/>
      <c r="O101" s="68"/>
      <c r="P101" s="68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18.38"/>
    <col customWidth="1" min="4" max="9" width="13.5"/>
    <col customWidth="1" min="10" max="10" width="11.0"/>
    <col hidden="1" min="16" max="26" width="12.63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9" t="s">
        <v>20</v>
      </c>
      <c r="B3" s="8">
        <f t="shared" ref="B3:Y3" si="1">B4+B5</f>
        <v>41611.69</v>
      </c>
      <c r="C3" s="8">
        <f t="shared" si="1"/>
        <v>150000</v>
      </c>
      <c r="D3" s="8">
        <f t="shared" si="1"/>
        <v>12500</v>
      </c>
      <c r="E3" s="8">
        <f t="shared" si="1"/>
        <v>12500</v>
      </c>
      <c r="F3" s="8">
        <f t="shared" si="1"/>
        <v>12500</v>
      </c>
      <c r="G3" s="8">
        <f t="shared" si="1"/>
        <v>12500</v>
      </c>
      <c r="H3" s="8">
        <f t="shared" si="1"/>
        <v>12500</v>
      </c>
      <c r="I3" s="8">
        <f t="shared" si="1"/>
        <v>12500</v>
      </c>
      <c r="J3" s="8">
        <f t="shared" si="1"/>
        <v>12500</v>
      </c>
      <c r="K3" s="8">
        <f t="shared" si="1"/>
        <v>12500</v>
      </c>
      <c r="L3" s="8">
        <f t="shared" si="1"/>
        <v>12500</v>
      </c>
      <c r="M3" s="8">
        <f t="shared" si="1"/>
        <v>12500</v>
      </c>
      <c r="N3" s="8">
        <f t="shared" si="1"/>
        <v>12500</v>
      </c>
      <c r="O3" s="8">
        <f t="shared" si="1"/>
        <v>12500</v>
      </c>
      <c r="P3" s="8">
        <f t="shared" si="1"/>
        <v>11000</v>
      </c>
      <c r="Q3" s="8">
        <f t="shared" si="1"/>
        <v>11000</v>
      </c>
      <c r="R3" s="8">
        <f t="shared" si="1"/>
        <v>11000</v>
      </c>
      <c r="S3" s="8">
        <f t="shared" si="1"/>
        <v>11000</v>
      </c>
      <c r="T3" s="8">
        <f t="shared" si="1"/>
        <v>11000</v>
      </c>
      <c r="U3" s="8">
        <f t="shared" si="1"/>
        <v>11000</v>
      </c>
      <c r="V3" s="8">
        <f t="shared" si="1"/>
        <v>11000</v>
      </c>
      <c r="W3" s="8">
        <f t="shared" si="1"/>
        <v>11000</v>
      </c>
      <c r="X3" s="8">
        <f t="shared" si="1"/>
        <v>11000</v>
      </c>
      <c r="Y3" s="8">
        <f t="shared" si="1"/>
        <v>11000</v>
      </c>
      <c r="Z3" s="1"/>
    </row>
    <row r="4">
      <c r="A4" s="10" t="s">
        <v>21</v>
      </c>
      <c r="B4" s="10">
        <f>5000*4</f>
        <v>20000</v>
      </c>
      <c r="C4" s="10">
        <f>5000*12</f>
        <v>60000</v>
      </c>
      <c r="D4" s="11">
        <v>5000.0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7500.0</v>
      </c>
      <c r="Q4" s="11">
        <v>7500.0</v>
      </c>
      <c r="R4" s="11">
        <v>7500.0</v>
      </c>
      <c r="S4" s="11">
        <v>7500.0</v>
      </c>
      <c r="T4" s="11">
        <v>7500.0</v>
      </c>
      <c r="U4" s="11">
        <v>7500.0</v>
      </c>
      <c r="V4" s="11">
        <v>7500.0</v>
      </c>
      <c r="W4" s="11">
        <v>7500.0</v>
      </c>
      <c r="X4" s="11">
        <v>7500.0</v>
      </c>
      <c r="Y4" s="11">
        <v>7500.0</v>
      </c>
      <c r="Z4" s="1"/>
    </row>
    <row r="5">
      <c r="A5" s="10" t="s">
        <v>22</v>
      </c>
      <c r="B5" s="11">
        <v>21611.69</v>
      </c>
      <c r="C5" s="11">
        <v>90000.0</v>
      </c>
      <c r="D5" s="11">
        <v>7500.0</v>
      </c>
      <c r="E5" s="11">
        <v>7500.0</v>
      </c>
      <c r="F5" s="11">
        <v>7500.0</v>
      </c>
      <c r="G5" s="11">
        <v>7500.0</v>
      </c>
      <c r="H5" s="11">
        <v>7500.0</v>
      </c>
      <c r="I5" s="11">
        <v>7500.0</v>
      </c>
      <c r="J5" s="11">
        <v>7500.0</v>
      </c>
      <c r="K5" s="11">
        <v>7500.0</v>
      </c>
      <c r="L5" s="11">
        <v>7500.0</v>
      </c>
      <c r="M5" s="11">
        <v>7500.0</v>
      </c>
      <c r="N5" s="11">
        <v>7500.0</v>
      </c>
      <c r="O5" s="11">
        <v>7500.0</v>
      </c>
      <c r="P5" s="11">
        <v>3500.0</v>
      </c>
      <c r="Q5" s="11">
        <v>3500.0</v>
      </c>
      <c r="R5" s="11">
        <v>3500.0</v>
      </c>
      <c r="S5" s="11">
        <v>3500.0</v>
      </c>
      <c r="T5" s="11">
        <v>3500.0</v>
      </c>
      <c r="U5" s="11">
        <v>3500.0</v>
      </c>
      <c r="V5" s="11">
        <v>3500.0</v>
      </c>
      <c r="W5" s="11">
        <v>3500.0</v>
      </c>
      <c r="X5" s="11">
        <v>3500.0</v>
      </c>
      <c r="Y5" s="11">
        <v>3500.0</v>
      </c>
      <c r="Z5" s="1"/>
    </row>
    <row r="6">
      <c r="A6" s="9" t="s">
        <v>23</v>
      </c>
      <c r="B6" s="12">
        <v>808.0</v>
      </c>
      <c r="C6" s="13">
        <f t="shared" ref="C6:Y6" si="2">ROUNDDOWN(C5/C7,0)</f>
        <v>3333</v>
      </c>
      <c r="D6" s="13">
        <f t="shared" si="2"/>
        <v>277</v>
      </c>
      <c r="E6" s="13">
        <f t="shared" si="2"/>
        <v>277</v>
      </c>
      <c r="F6" s="13">
        <f t="shared" si="2"/>
        <v>277</v>
      </c>
      <c r="G6" s="13">
        <f t="shared" si="2"/>
        <v>277</v>
      </c>
      <c r="H6" s="13">
        <f t="shared" si="2"/>
        <v>277</v>
      </c>
      <c r="I6" s="13">
        <f t="shared" si="2"/>
        <v>277</v>
      </c>
      <c r="J6" s="13">
        <f t="shared" si="2"/>
        <v>277</v>
      </c>
      <c r="K6" s="13">
        <f t="shared" si="2"/>
        <v>277</v>
      </c>
      <c r="L6" s="13">
        <f t="shared" si="2"/>
        <v>277</v>
      </c>
      <c r="M6" s="13">
        <f t="shared" si="2"/>
        <v>277</v>
      </c>
      <c r="N6" s="13">
        <f t="shared" si="2"/>
        <v>277</v>
      </c>
      <c r="O6" s="13">
        <f t="shared" si="2"/>
        <v>277</v>
      </c>
      <c r="P6" s="13">
        <f t="shared" si="2"/>
        <v>43</v>
      </c>
      <c r="Q6" s="13">
        <f t="shared" si="2"/>
        <v>43</v>
      </c>
      <c r="R6" s="13">
        <f t="shared" si="2"/>
        <v>43</v>
      </c>
      <c r="S6" s="13">
        <f t="shared" si="2"/>
        <v>43</v>
      </c>
      <c r="T6" s="13">
        <f t="shared" si="2"/>
        <v>43</v>
      </c>
      <c r="U6" s="13">
        <f t="shared" si="2"/>
        <v>43</v>
      </c>
      <c r="V6" s="13">
        <f t="shared" si="2"/>
        <v>43</v>
      </c>
      <c r="W6" s="13">
        <f t="shared" si="2"/>
        <v>43</v>
      </c>
      <c r="X6" s="13">
        <f t="shared" si="2"/>
        <v>43</v>
      </c>
      <c r="Y6" s="13">
        <f t="shared" si="2"/>
        <v>43</v>
      </c>
      <c r="Z6" s="1"/>
    </row>
    <row r="7">
      <c r="A7" s="10" t="s">
        <v>24</v>
      </c>
      <c r="B7" s="10">
        <f>B5/B6</f>
        <v>26.74714109</v>
      </c>
      <c r="C7" s="11">
        <v>27.0</v>
      </c>
      <c r="D7" s="11">
        <v>27.0</v>
      </c>
      <c r="E7" s="11">
        <v>27.0</v>
      </c>
      <c r="F7" s="11">
        <v>27.0</v>
      </c>
      <c r="G7" s="11">
        <v>27.0</v>
      </c>
      <c r="H7" s="11">
        <v>27.0</v>
      </c>
      <c r="I7" s="11">
        <v>27.0</v>
      </c>
      <c r="J7" s="11">
        <v>27.0</v>
      </c>
      <c r="K7" s="11">
        <v>27.0</v>
      </c>
      <c r="L7" s="11">
        <v>27.0</v>
      </c>
      <c r="M7" s="11">
        <v>27.0</v>
      </c>
      <c r="N7" s="11">
        <v>27.0</v>
      </c>
      <c r="O7" s="11">
        <v>27.0</v>
      </c>
      <c r="P7" s="11">
        <v>80.0</v>
      </c>
      <c r="Q7" s="11">
        <v>80.0</v>
      </c>
      <c r="R7" s="11">
        <v>80.0</v>
      </c>
      <c r="S7" s="11">
        <v>80.0</v>
      </c>
      <c r="T7" s="11">
        <v>80.0</v>
      </c>
      <c r="U7" s="11">
        <v>80.0</v>
      </c>
      <c r="V7" s="11">
        <v>80.0</v>
      </c>
      <c r="W7" s="11">
        <v>80.0</v>
      </c>
      <c r="X7" s="11">
        <v>80.0</v>
      </c>
      <c r="Y7" s="11">
        <v>80.0</v>
      </c>
      <c r="Z7" s="1"/>
    </row>
    <row r="8" hidden="1">
      <c r="A8" s="10" t="s">
        <v>25</v>
      </c>
      <c r="B8" s="14">
        <f>B9/B6</f>
        <v>1.425742574</v>
      </c>
      <c r="C8" s="14">
        <v>1.0</v>
      </c>
      <c r="D8" s="14">
        <v>1.0</v>
      </c>
      <c r="E8" s="14">
        <v>1.0</v>
      </c>
      <c r="F8" s="14">
        <v>1.0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14">
        <v>1.0</v>
      </c>
      <c r="Q8" s="14">
        <v>1.0</v>
      </c>
      <c r="R8" s="14">
        <v>1.0</v>
      </c>
      <c r="S8" s="14">
        <v>1.0</v>
      </c>
      <c r="T8" s="14">
        <v>1.0</v>
      </c>
      <c r="U8" s="14">
        <v>1.0</v>
      </c>
      <c r="V8" s="14">
        <v>1.0</v>
      </c>
      <c r="W8" s="14">
        <v>1.0</v>
      </c>
      <c r="X8" s="14">
        <v>1.0</v>
      </c>
      <c r="Y8" s="14">
        <v>1.0</v>
      </c>
      <c r="Z8" s="1"/>
    </row>
    <row r="9" hidden="1">
      <c r="A9" s="13" t="s">
        <v>26</v>
      </c>
      <c r="B9" s="12">
        <v>1152.0</v>
      </c>
      <c r="C9" s="13">
        <f t="shared" ref="C9:Y9" si="3">ROUNDDOWN(C6*C8,0)</f>
        <v>3333</v>
      </c>
      <c r="D9" s="13">
        <f t="shared" si="3"/>
        <v>277</v>
      </c>
      <c r="E9" s="13">
        <f t="shared" si="3"/>
        <v>277</v>
      </c>
      <c r="F9" s="13">
        <f t="shared" si="3"/>
        <v>277</v>
      </c>
      <c r="G9" s="13">
        <f t="shared" si="3"/>
        <v>277</v>
      </c>
      <c r="H9" s="13">
        <f t="shared" si="3"/>
        <v>277</v>
      </c>
      <c r="I9" s="13">
        <f t="shared" si="3"/>
        <v>277</v>
      </c>
      <c r="J9" s="13">
        <f t="shared" si="3"/>
        <v>277</v>
      </c>
      <c r="K9" s="13">
        <f t="shared" si="3"/>
        <v>277</v>
      </c>
      <c r="L9" s="13">
        <f t="shared" si="3"/>
        <v>277</v>
      </c>
      <c r="M9" s="13">
        <f t="shared" si="3"/>
        <v>277</v>
      </c>
      <c r="N9" s="13">
        <f t="shared" si="3"/>
        <v>277</v>
      </c>
      <c r="O9" s="13">
        <f t="shared" si="3"/>
        <v>277</v>
      </c>
      <c r="P9" s="13">
        <f t="shared" si="3"/>
        <v>43</v>
      </c>
      <c r="Q9" s="13">
        <f t="shared" si="3"/>
        <v>43</v>
      </c>
      <c r="R9" s="13">
        <f t="shared" si="3"/>
        <v>43</v>
      </c>
      <c r="S9" s="13">
        <f t="shared" si="3"/>
        <v>43</v>
      </c>
      <c r="T9" s="13">
        <f t="shared" si="3"/>
        <v>43</v>
      </c>
      <c r="U9" s="13">
        <f t="shared" si="3"/>
        <v>43</v>
      </c>
      <c r="V9" s="13">
        <f t="shared" si="3"/>
        <v>43</v>
      </c>
      <c r="W9" s="13">
        <f t="shared" si="3"/>
        <v>43</v>
      </c>
      <c r="X9" s="13">
        <f t="shared" si="3"/>
        <v>43</v>
      </c>
      <c r="Y9" s="13">
        <f t="shared" si="3"/>
        <v>43</v>
      </c>
      <c r="Z9" s="1"/>
    </row>
    <row r="10" hidden="1">
      <c r="A10" s="10" t="s">
        <v>27</v>
      </c>
      <c r="B10" s="10">
        <f>B5/B9</f>
        <v>18.76014757</v>
      </c>
      <c r="C10" s="10">
        <v>222.91666666666666</v>
      </c>
      <c r="D10" s="10">
        <v>222.91666666666666</v>
      </c>
      <c r="E10" s="10">
        <v>222.91666666666666</v>
      </c>
      <c r="F10" s="10">
        <v>222.91666666666666</v>
      </c>
      <c r="G10" s="10">
        <v>222.91666666666666</v>
      </c>
      <c r="H10" s="10">
        <v>222.91666666666666</v>
      </c>
      <c r="I10" s="10">
        <v>222.91666666666666</v>
      </c>
      <c r="J10" s="10">
        <v>222.91666666666666</v>
      </c>
      <c r="K10" s="10">
        <v>222.91666666666666</v>
      </c>
      <c r="L10" s="10">
        <v>222.91666666666666</v>
      </c>
      <c r="M10" s="10">
        <v>222.91666666666666</v>
      </c>
      <c r="N10" s="10">
        <v>222.91666666666666</v>
      </c>
      <c r="O10" s="10">
        <v>222.91666666666666</v>
      </c>
      <c r="P10" s="10">
        <v>222.91666666666666</v>
      </c>
      <c r="Q10" s="10">
        <v>222.91666666666666</v>
      </c>
      <c r="R10" s="10">
        <v>222.91666666666666</v>
      </c>
      <c r="S10" s="10">
        <v>222.91666666666666</v>
      </c>
      <c r="T10" s="10">
        <v>222.91666666666666</v>
      </c>
      <c r="U10" s="10">
        <v>222.91666666666666</v>
      </c>
      <c r="V10" s="10">
        <v>222.91666666666666</v>
      </c>
      <c r="W10" s="10">
        <v>222.91666666666666</v>
      </c>
      <c r="X10" s="10">
        <v>222.91666666666666</v>
      </c>
      <c r="Y10" s="10">
        <v>222.91666666666666</v>
      </c>
      <c r="Z10" s="1"/>
    </row>
    <row r="11" hidden="1">
      <c r="A11" s="10" t="s">
        <v>28</v>
      </c>
      <c r="B11" s="14">
        <f>B12/B9</f>
        <v>1</v>
      </c>
      <c r="C11" s="15">
        <v>0.2</v>
      </c>
      <c r="D11" s="15">
        <v>0.17</v>
      </c>
      <c r="E11" s="15">
        <v>0.19</v>
      </c>
      <c r="F11" s="15">
        <v>0.21</v>
      </c>
      <c r="G11" s="15">
        <v>0.22</v>
      </c>
      <c r="H11" s="15">
        <v>0.23</v>
      </c>
      <c r="I11" s="15">
        <v>0.25</v>
      </c>
      <c r="J11" s="15">
        <v>0.25</v>
      </c>
      <c r="K11" s="15">
        <v>0.25</v>
      </c>
      <c r="L11" s="15">
        <v>0.25</v>
      </c>
      <c r="M11" s="15">
        <v>0.25</v>
      </c>
      <c r="N11" s="15">
        <v>0.25</v>
      </c>
      <c r="O11" s="15">
        <v>0.25</v>
      </c>
      <c r="P11" s="15">
        <v>0.25</v>
      </c>
      <c r="Q11" s="15">
        <v>0.25</v>
      </c>
      <c r="R11" s="15">
        <v>0.25</v>
      </c>
      <c r="S11" s="15">
        <v>0.25</v>
      </c>
      <c r="T11" s="15">
        <v>0.25</v>
      </c>
      <c r="U11" s="15">
        <v>0.25</v>
      </c>
      <c r="V11" s="15">
        <v>0.25</v>
      </c>
      <c r="W11" s="15">
        <v>0.25</v>
      </c>
      <c r="X11" s="15">
        <v>0.25</v>
      </c>
      <c r="Y11" s="15">
        <v>0.25</v>
      </c>
      <c r="Z11" s="1"/>
    </row>
    <row r="12" hidden="1">
      <c r="A12" s="16" t="s">
        <v>29</v>
      </c>
      <c r="B12" s="17">
        <v>1152.0</v>
      </c>
      <c r="C12" s="16">
        <f t="shared" ref="C12:Y12" si="4">ROUNDDOWN(C11*C9,0)</f>
        <v>666</v>
      </c>
      <c r="D12" s="16">
        <f t="shared" si="4"/>
        <v>47</v>
      </c>
      <c r="E12" s="16">
        <f t="shared" si="4"/>
        <v>52</v>
      </c>
      <c r="F12" s="16">
        <f t="shared" si="4"/>
        <v>58</v>
      </c>
      <c r="G12" s="16">
        <f t="shared" si="4"/>
        <v>60</v>
      </c>
      <c r="H12" s="16">
        <f t="shared" si="4"/>
        <v>63</v>
      </c>
      <c r="I12" s="16">
        <f t="shared" si="4"/>
        <v>69</v>
      </c>
      <c r="J12" s="16">
        <f t="shared" si="4"/>
        <v>69</v>
      </c>
      <c r="K12" s="16">
        <f t="shared" si="4"/>
        <v>69</v>
      </c>
      <c r="L12" s="16">
        <f t="shared" si="4"/>
        <v>69</v>
      </c>
      <c r="M12" s="16">
        <f t="shared" si="4"/>
        <v>69</v>
      </c>
      <c r="N12" s="16">
        <f t="shared" si="4"/>
        <v>69</v>
      </c>
      <c r="O12" s="16">
        <f t="shared" si="4"/>
        <v>69</v>
      </c>
      <c r="P12" s="16">
        <f t="shared" si="4"/>
        <v>10</v>
      </c>
      <c r="Q12" s="16">
        <f t="shared" si="4"/>
        <v>10</v>
      </c>
      <c r="R12" s="16">
        <f t="shared" si="4"/>
        <v>10</v>
      </c>
      <c r="S12" s="16">
        <f t="shared" si="4"/>
        <v>10</v>
      </c>
      <c r="T12" s="16">
        <f t="shared" si="4"/>
        <v>10</v>
      </c>
      <c r="U12" s="16">
        <f t="shared" si="4"/>
        <v>10</v>
      </c>
      <c r="V12" s="16">
        <f t="shared" si="4"/>
        <v>10</v>
      </c>
      <c r="W12" s="16">
        <f t="shared" si="4"/>
        <v>10</v>
      </c>
      <c r="X12" s="16">
        <f t="shared" si="4"/>
        <v>10</v>
      </c>
      <c r="Y12" s="16">
        <f t="shared" si="4"/>
        <v>10</v>
      </c>
      <c r="Z12" s="1"/>
    </row>
    <row r="13" hidden="1">
      <c r="A13" s="10" t="s">
        <v>30</v>
      </c>
      <c r="B13" s="10">
        <f>B5/B12</f>
        <v>18.76014757</v>
      </c>
      <c r="C13" s="10">
        <v>1528.5714285714287</v>
      </c>
      <c r="D13" s="10">
        <v>1528.5714285714287</v>
      </c>
      <c r="E13" s="10">
        <v>1528.5714285714287</v>
      </c>
      <c r="F13" s="10">
        <v>1528.5714285714287</v>
      </c>
      <c r="G13" s="10">
        <v>1528.5714285714287</v>
      </c>
      <c r="H13" s="10">
        <v>1528.5714285714287</v>
      </c>
      <c r="I13" s="10">
        <v>1528.5714285714287</v>
      </c>
      <c r="J13" s="10">
        <v>1528.5714285714287</v>
      </c>
      <c r="K13" s="10">
        <v>1528.5714285714287</v>
      </c>
      <c r="L13" s="10">
        <v>1528.5714285714287</v>
      </c>
      <c r="M13" s="10">
        <v>1528.5714285714287</v>
      </c>
      <c r="N13" s="10">
        <v>1528.5714285714287</v>
      </c>
      <c r="O13" s="10">
        <v>1528.5714285714287</v>
      </c>
      <c r="P13" s="10">
        <v>1528.5714285714287</v>
      </c>
      <c r="Q13" s="10">
        <v>1528.5714285714287</v>
      </c>
      <c r="R13" s="10">
        <v>1528.5714285714287</v>
      </c>
      <c r="S13" s="10">
        <v>1528.5714285714287</v>
      </c>
      <c r="T13" s="10">
        <v>1528.5714285714287</v>
      </c>
      <c r="U13" s="10">
        <v>1528.5714285714287</v>
      </c>
      <c r="V13" s="10">
        <v>1528.5714285714287</v>
      </c>
      <c r="W13" s="10">
        <v>1528.5714285714287</v>
      </c>
      <c r="X13" s="10">
        <v>1528.5714285714287</v>
      </c>
      <c r="Y13" s="10">
        <v>1528.5714285714287</v>
      </c>
      <c r="Z13" s="1"/>
    </row>
    <row r="14" hidden="1">
      <c r="A14" s="10" t="s">
        <v>31</v>
      </c>
      <c r="B14" s="18">
        <f>B15/B12</f>
        <v>0.06423611111</v>
      </c>
      <c r="C14" s="19">
        <v>0.25</v>
      </c>
      <c r="D14" s="19">
        <v>0.34</v>
      </c>
      <c r="E14" s="19">
        <v>0.34</v>
      </c>
      <c r="F14" s="19">
        <v>0.25</v>
      </c>
      <c r="G14" s="19">
        <v>0.25</v>
      </c>
      <c r="H14" s="19">
        <v>0.25</v>
      </c>
      <c r="I14" s="19">
        <v>0.25</v>
      </c>
      <c r="J14" s="19">
        <v>0.25</v>
      </c>
      <c r="K14" s="19">
        <v>0.25</v>
      </c>
      <c r="L14" s="19">
        <v>0.25</v>
      </c>
      <c r="M14" s="19">
        <v>0.25</v>
      </c>
      <c r="N14" s="19">
        <v>0.25</v>
      </c>
      <c r="O14" s="19">
        <v>0.25</v>
      </c>
      <c r="P14" s="19">
        <v>0.25</v>
      </c>
      <c r="Q14" s="19">
        <v>0.25</v>
      </c>
      <c r="R14" s="19">
        <v>0.25</v>
      </c>
      <c r="S14" s="19">
        <v>0.25</v>
      </c>
      <c r="T14" s="19">
        <v>0.25</v>
      </c>
      <c r="U14" s="19">
        <v>0.25</v>
      </c>
      <c r="V14" s="19">
        <v>0.25</v>
      </c>
      <c r="W14" s="19">
        <v>0.25</v>
      </c>
      <c r="X14" s="19">
        <v>0.25</v>
      </c>
      <c r="Y14" s="19">
        <v>0.25</v>
      </c>
      <c r="Z14" s="1"/>
    </row>
    <row r="15">
      <c r="A15" s="16" t="s">
        <v>32</v>
      </c>
      <c r="B15" s="17">
        <v>74.0</v>
      </c>
      <c r="C15" s="16">
        <f t="shared" ref="C15:O15" si="5">ROUNDDOWN(C17*C6,0)</f>
        <v>666</v>
      </c>
      <c r="D15" s="16">
        <f t="shared" si="5"/>
        <v>55</v>
      </c>
      <c r="E15" s="16">
        <f t="shared" si="5"/>
        <v>55</v>
      </c>
      <c r="F15" s="16">
        <f t="shared" si="5"/>
        <v>55</v>
      </c>
      <c r="G15" s="16">
        <f t="shared" si="5"/>
        <v>55</v>
      </c>
      <c r="H15" s="16">
        <f t="shared" si="5"/>
        <v>55</v>
      </c>
      <c r="I15" s="16">
        <f t="shared" si="5"/>
        <v>55</v>
      </c>
      <c r="J15" s="16">
        <f t="shared" si="5"/>
        <v>55</v>
      </c>
      <c r="K15" s="16">
        <f t="shared" si="5"/>
        <v>55</v>
      </c>
      <c r="L15" s="16">
        <f t="shared" si="5"/>
        <v>55</v>
      </c>
      <c r="M15" s="16">
        <f t="shared" si="5"/>
        <v>55</v>
      </c>
      <c r="N15" s="16">
        <f t="shared" si="5"/>
        <v>55</v>
      </c>
      <c r="O15" s="16">
        <f t="shared" si="5"/>
        <v>55</v>
      </c>
      <c r="P15" s="16">
        <f t="shared" ref="P15:Y15" si="6">ROUNDDOWN(P14*P12,0)</f>
        <v>2</v>
      </c>
      <c r="Q15" s="16">
        <f t="shared" si="6"/>
        <v>2</v>
      </c>
      <c r="R15" s="16">
        <f t="shared" si="6"/>
        <v>2</v>
      </c>
      <c r="S15" s="16">
        <f t="shared" si="6"/>
        <v>2</v>
      </c>
      <c r="T15" s="16">
        <f t="shared" si="6"/>
        <v>2</v>
      </c>
      <c r="U15" s="16">
        <f t="shared" si="6"/>
        <v>2</v>
      </c>
      <c r="V15" s="16">
        <f t="shared" si="6"/>
        <v>2</v>
      </c>
      <c r="W15" s="16">
        <f t="shared" si="6"/>
        <v>2</v>
      </c>
      <c r="X15" s="16">
        <f t="shared" si="6"/>
        <v>2</v>
      </c>
      <c r="Y15" s="16">
        <f t="shared" si="6"/>
        <v>2</v>
      </c>
      <c r="Z15" s="1"/>
    </row>
    <row r="16">
      <c r="A16" s="20" t="s">
        <v>33</v>
      </c>
      <c r="B16" s="10">
        <f t="shared" ref="B16:Y16" si="7">IFERROR(B5/B15,"0")</f>
        <v>292.0498649</v>
      </c>
      <c r="C16" s="10">
        <f t="shared" si="7"/>
        <v>135.1351351</v>
      </c>
      <c r="D16" s="10">
        <f t="shared" si="7"/>
        <v>136.3636364</v>
      </c>
      <c r="E16" s="10">
        <f t="shared" si="7"/>
        <v>136.3636364</v>
      </c>
      <c r="F16" s="10">
        <f t="shared" si="7"/>
        <v>136.3636364</v>
      </c>
      <c r="G16" s="10">
        <f t="shared" si="7"/>
        <v>136.3636364</v>
      </c>
      <c r="H16" s="10">
        <f t="shared" si="7"/>
        <v>136.3636364</v>
      </c>
      <c r="I16" s="10">
        <f t="shared" si="7"/>
        <v>136.3636364</v>
      </c>
      <c r="J16" s="10">
        <f t="shared" si="7"/>
        <v>136.3636364</v>
      </c>
      <c r="K16" s="10">
        <f t="shared" si="7"/>
        <v>136.3636364</v>
      </c>
      <c r="L16" s="10">
        <f t="shared" si="7"/>
        <v>136.3636364</v>
      </c>
      <c r="M16" s="10">
        <f t="shared" si="7"/>
        <v>136.3636364</v>
      </c>
      <c r="N16" s="10">
        <f t="shared" si="7"/>
        <v>136.3636364</v>
      </c>
      <c r="O16" s="10">
        <f t="shared" si="7"/>
        <v>136.3636364</v>
      </c>
      <c r="P16" s="10">
        <f t="shared" si="7"/>
        <v>1750</v>
      </c>
      <c r="Q16" s="10">
        <f t="shared" si="7"/>
        <v>1750</v>
      </c>
      <c r="R16" s="10">
        <f t="shared" si="7"/>
        <v>1750</v>
      </c>
      <c r="S16" s="10">
        <f t="shared" si="7"/>
        <v>1750</v>
      </c>
      <c r="T16" s="10">
        <f t="shared" si="7"/>
        <v>1750</v>
      </c>
      <c r="U16" s="10">
        <f t="shared" si="7"/>
        <v>1750</v>
      </c>
      <c r="V16" s="10">
        <f t="shared" si="7"/>
        <v>1750</v>
      </c>
      <c r="W16" s="10">
        <f t="shared" si="7"/>
        <v>1750</v>
      </c>
      <c r="X16" s="10">
        <f t="shared" si="7"/>
        <v>1750</v>
      </c>
      <c r="Y16" s="10">
        <f t="shared" si="7"/>
        <v>1750</v>
      </c>
      <c r="Z16" s="1"/>
    </row>
    <row r="17">
      <c r="A17" s="16" t="s">
        <v>34</v>
      </c>
      <c r="B17" s="21">
        <f>B14*B11*B8</f>
        <v>0.09158415842</v>
      </c>
      <c r="C17" s="22">
        <v>0.2</v>
      </c>
      <c r="D17" s="22">
        <v>0.2</v>
      </c>
      <c r="E17" s="22">
        <v>0.2</v>
      </c>
      <c r="F17" s="22">
        <v>0.2</v>
      </c>
      <c r="G17" s="22">
        <v>0.2</v>
      </c>
      <c r="H17" s="22">
        <v>0.2</v>
      </c>
      <c r="I17" s="22">
        <v>0.2</v>
      </c>
      <c r="J17" s="22">
        <v>0.2</v>
      </c>
      <c r="K17" s="22">
        <v>0.2</v>
      </c>
      <c r="L17" s="22">
        <v>0.2</v>
      </c>
      <c r="M17" s="22">
        <v>0.2</v>
      </c>
      <c r="N17" s="22">
        <v>0.2</v>
      </c>
      <c r="O17" s="22">
        <v>0.2</v>
      </c>
      <c r="P17" s="21">
        <f t="shared" ref="P17:Y17" si="8">P14*P11*P8</f>
        <v>0.0625</v>
      </c>
      <c r="Q17" s="21">
        <f t="shared" si="8"/>
        <v>0.0625</v>
      </c>
      <c r="R17" s="21">
        <f t="shared" si="8"/>
        <v>0.0625</v>
      </c>
      <c r="S17" s="21">
        <f t="shared" si="8"/>
        <v>0.0625</v>
      </c>
      <c r="T17" s="21">
        <f t="shared" si="8"/>
        <v>0.0625</v>
      </c>
      <c r="U17" s="21">
        <f t="shared" si="8"/>
        <v>0.0625</v>
      </c>
      <c r="V17" s="21">
        <f t="shared" si="8"/>
        <v>0.0625</v>
      </c>
      <c r="W17" s="21">
        <f t="shared" si="8"/>
        <v>0.0625</v>
      </c>
      <c r="X17" s="21">
        <f t="shared" si="8"/>
        <v>0.0625</v>
      </c>
      <c r="Y17" s="21">
        <f t="shared" si="8"/>
        <v>0.0625</v>
      </c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35</v>
      </c>
      <c r="B19" s="11">
        <v>260.0</v>
      </c>
      <c r="C19" s="11">
        <v>260.0</v>
      </c>
      <c r="D19" s="11">
        <v>260.0</v>
      </c>
      <c r="E19" s="11">
        <v>260.0</v>
      </c>
      <c r="F19" s="11">
        <v>260.0</v>
      </c>
      <c r="G19" s="11">
        <v>260.0</v>
      </c>
      <c r="H19" s="11">
        <v>260.0</v>
      </c>
      <c r="I19" s="11">
        <v>260.0</v>
      </c>
      <c r="J19" s="11">
        <v>260.0</v>
      </c>
      <c r="K19" s="11">
        <v>260.0</v>
      </c>
      <c r="L19" s="11">
        <v>260.0</v>
      </c>
      <c r="M19" s="11">
        <v>260.0</v>
      </c>
      <c r="N19" s="11">
        <v>260.0</v>
      </c>
      <c r="O19" s="11">
        <v>260.0</v>
      </c>
      <c r="P19" s="11">
        <v>30000.0</v>
      </c>
      <c r="Q19" s="11">
        <v>30000.0</v>
      </c>
      <c r="R19" s="11">
        <v>30000.0</v>
      </c>
      <c r="S19" s="11">
        <v>30000.0</v>
      </c>
      <c r="T19" s="11">
        <v>30000.0</v>
      </c>
      <c r="U19" s="11">
        <v>30000.0</v>
      </c>
      <c r="V19" s="11">
        <v>30000.0</v>
      </c>
      <c r="W19" s="11">
        <v>30000.0</v>
      </c>
      <c r="X19" s="11">
        <v>30000.0</v>
      </c>
      <c r="Y19" s="11">
        <v>30000.0</v>
      </c>
      <c r="Z19" s="1"/>
    </row>
    <row r="20">
      <c r="A20" s="23" t="s">
        <v>36</v>
      </c>
      <c r="B20" s="19">
        <v>0.6</v>
      </c>
      <c r="C20" s="19">
        <v>0.6</v>
      </c>
      <c r="D20" s="19">
        <v>0.6</v>
      </c>
      <c r="E20" s="19">
        <v>0.6</v>
      </c>
      <c r="F20" s="19">
        <v>0.6</v>
      </c>
      <c r="G20" s="19">
        <v>0.6</v>
      </c>
      <c r="H20" s="19">
        <v>0.6</v>
      </c>
      <c r="I20" s="19">
        <v>0.6</v>
      </c>
      <c r="J20" s="19">
        <v>0.6</v>
      </c>
      <c r="K20" s="19">
        <v>0.6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0.5</v>
      </c>
      <c r="R20" s="19">
        <v>0.5</v>
      </c>
      <c r="S20" s="19">
        <v>0.5</v>
      </c>
      <c r="T20" s="19">
        <v>0.5</v>
      </c>
      <c r="U20" s="19">
        <v>0.5</v>
      </c>
      <c r="V20" s="19">
        <v>0.5</v>
      </c>
      <c r="W20" s="19">
        <v>0.5</v>
      </c>
      <c r="X20" s="19">
        <v>0.5</v>
      </c>
      <c r="Y20" s="19">
        <v>0.5</v>
      </c>
      <c r="Z20" s="1"/>
    </row>
    <row r="21">
      <c r="A21" s="8" t="s">
        <v>37</v>
      </c>
      <c r="B21" s="7">
        <v>105352.0</v>
      </c>
      <c r="C21" s="8">
        <f t="shared" ref="C21:Y21" si="9">C19*C15</f>
        <v>173160</v>
      </c>
      <c r="D21" s="8">
        <f t="shared" si="9"/>
        <v>14300</v>
      </c>
      <c r="E21" s="8">
        <f t="shared" si="9"/>
        <v>14300</v>
      </c>
      <c r="F21" s="8">
        <f t="shared" si="9"/>
        <v>14300</v>
      </c>
      <c r="G21" s="8">
        <f t="shared" si="9"/>
        <v>14300</v>
      </c>
      <c r="H21" s="8">
        <f t="shared" si="9"/>
        <v>14300</v>
      </c>
      <c r="I21" s="8">
        <f t="shared" si="9"/>
        <v>14300</v>
      </c>
      <c r="J21" s="8">
        <f t="shared" si="9"/>
        <v>14300</v>
      </c>
      <c r="K21" s="8">
        <f t="shared" si="9"/>
        <v>14300</v>
      </c>
      <c r="L21" s="8">
        <f t="shared" si="9"/>
        <v>14300</v>
      </c>
      <c r="M21" s="8">
        <f t="shared" si="9"/>
        <v>14300</v>
      </c>
      <c r="N21" s="8">
        <f t="shared" si="9"/>
        <v>14300</v>
      </c>
      <c r="O21" s="8">
        <f t="shared" si="9"/>
        <v>14300</v>
      </c>
      <c r="P21" s="8">
        <f t="shared" si="9"/>
        <v>60000</v>
      </c>
      <c r="Q21" s="8">
        <f t="shared" si="9"/>
        <v>60000</v>
      </c>
      <c r="R21" s="8">
        <f t="shared" si="9"/>
        <v>60000</v>
      </c>
      <c r="S21" s="8">
        <f t="shared" si="9"/>
        <v>60000</v>
      </c>
      <c r="T21" s="8">
        <f t="shared" si="9"/>
        <v>60000</v>
      </c>
      <c r="U21" s="8">
        <f t="shared" si="9"/>
        <v>60000</v>
      </c>
      <c r="V21" s="8">
        <f t="shared" si="9"/>
        <v>60000</v>
      </c>
      <c r="W21" s="8">
        <f t="shared" si="9"/>
        <v>60000</v>
      </c>
      <c r="X21" s="8">
        <f t="shared" si="9"/>
        <v>60000</v>
      </c>
      <c r="Y21" s="8">
        <f t="shared" si="9"/>
        <v>60000</v>
      </c>
      <c r="Z21" s="1"/>
    </row>
    <row r="22">
      <c r="A22" s="8" t="s">
        <v>38</v>
      </c>
      <c r="B22" s="7">
        <v>105352.0</v>
      </c>
      <c r="C22" s="8">
        <f t="shared" ref="C22:D22" si="10">C21*9</f>
        <v>1558440</v>
      </c>
      <c r="D22" s="8">
        <f t="shared" si="10"/>
        <v>128700</v>
      </c>
      <c r="E22" s="8">
        <f t="shared" ref="E22:Y22" si="11">D22+E21</f>
        <v>143000</v>
      </c>
      <c r="F22" s="8">
        <f t="shared" si="11"/>
        <v>157300</v>
      </c>
      <c r="G22" s="8">
        <f t="shared" si="11"/>
        <v>171600</v>
      </c>
      <c r="H22" s="8">
        <f t="shared" si="11"/>
        <v>185900</v>
      </c>
      <c r="I22" s="8">
        <f t="shared" si="11"/>
        <v>200200</v>
      </c>
      <c r="J22" s="8">
        <f t="shared" si="11"/>
        <v>214500</v>
      </c>
      <c r="K22" s="8">
        <f t="shared" si="11"/>
        <v>228800</v>
      </c>
      <c r="L22" s="8">
        <f t="shared" si="11"/>
        <v>243100</v>
      </c>
      <c r="M22" s="8">
        <f t="shared" si="11"/>
        <v>257400</v>
      </c>
      <c r="N22" s="8">
        <f t="shared" si="11"/>
        <v>271700</v>
      </c>
      <c r="O22" s="8">
        <f t="shared" si="11"/>
        <v>286000</v>
      </c>
      <c r="P22" s="8">
        <f t="shared" si="11"/>
        <v>346000</v>
      </c>
      <c r="Q22" s="8">
        <f t="shared" si="11"/>
        <v>406000</v>
      </c>
      <c r="R22" s="8">
        <f t="shared" si="11"/>
        <v>466000</v>
      </c>
      <c r="S22" s="8">
        <f t="shared" si="11"/>
        <v>526000</v>
      </c>
      <c r="T22" s="8">
        <f t="shared" si="11"/>
        <v>586000</v>
      </c>
      <c r="U22" s="8">
        <f t="shared" si="11"/>
        <v>646000</v>
      </c>
      <c r="V22" s="8">
        <f t="shared" si="11"/>
        <v>706000</v>
      </c>
      <c r="W22" s="8">
        <f t="shared" si="11"/>
        <v>766000</v>
      </c>
      <c r="X22" s="8">
        <f t="shared" si="11"/>
        <v>826000</v>
      </c>
      <c r="Y22" s="8">
        <f t="shared" si="11"/>
        <v>886000</v>
      </c>
      <c r="Z22" s="1"/>
    </row>
    <row r="23">
      <c r="A23" s="8" t="s">
        <v>39</v>
      </c>
      <c r="B23" s="8">
        <f t="shared" ref="B23:Y23" si="12">B21*B20</f>
        <v>63211.2</v>
      </c>
      <c r="C23" s="8">
        <f t="shared" si="12"/>
        <v>103896</v>
      </c>
      <c r="D23" s="8">
        <f t="shared" si="12"/>
        <v>8580</v>
      </c>
      <c r="E23" s="8">
        <f t="shared" si="12"/>
        <v>8580</v>
      </c>
      <c r="F23" s="8">
        <f t="shared" si="12"/>
        <v>8580</v>
      </c>
      <c r="G23" s="8">
        <f t="shared" si="12"/>
        <v>8580</v>
      </c>
      <c r="H23" s="8">
        <f t="shared" si="12"/>
        <v>8580</v>
      </c>
      <c r="I23" s="8">
        <f t="shared" si="12"/>
        <v>8580</v>
      </c>
      <c r="J23" s="8">
        <f t="shared" si="12"/>
        <v>8580</v>
      </c>
      <c r="K23" s="8">
        <f t="shared" si="12"/>
        <v>8580</v>
      </c>
      <c r="L23" s="8">
        <f t="shared" si="12"/>
        <v>8580</v>
      </c>
      <c r="M23" s="8">
        <f t="shared" si="12"/>
        <v>8580</v>
      </c>
      <c r="N23" s="8">
        <f t="shared" si="12"/>
        <v>8580</v>
      </c>
      <c r="O23" s="8">
        <f t="shared" si="12"/>
        <v>8580</v>
      </c>
      <c r="P23" s="8">
        <f t="shared" si="12"/>
        <v>30000</v>
      </c>
      <c r="Q23" s="8">
        <f t="shared" si="12"/>
        <v>30000</v>
      </c>
      <c r="R23" s="8">
        <f t="shared" si="12"/>
        <v>30000</v>
      </c>
      <c r="S23" s="8">
        <f t="shared" si="12"/>
        <v>30000</v>
      </c>
      <c r="T23" s="8">
        <f t="shared" si="12"/>
        <v>30000</v>
      </c>
      <c r="U23" s="8">
        <f t="shared" si="12"/>
        <v>30000</v>
      </c>
      <c r="V23" s="8">
        <f t="shared" si="12"/>
        <v>30000</v>
      </c>
      <c r="W23" s="8">
        <f t="shared" si="12"/>
        <v>30000</v>
      </c>
      <c r="X23" s="8">
        <f t="shared" si="12"/>
        <v>30000</v>
      </c>
      <c r="Y23" s="8">
        <f t="shared" si="12"/>
        <v>30000</v>
      </c>
      <c r="Z23" s="1"/>
    </row>
    <row r="24">
      <c r="A24" s="8" t="s">
        <v>40</v>
      </c>
      <c r="B24" s="8">
        <f t="shared" ref="B24:Y24" si="13">B20*B22</f>
        <v>63211.2</v>
      </c>
      <c r="C24" s="8">
        <f t="shared" si="13"/>
        <v>935064</v>
      </c>
      <c r="D24" s="8">
        <f t="shared" si="13"/>
        <v>77220</v>
      </c>
      <c r="E24" s="8">
        <f t="shared" si="13"/>
        <v>85800</v>
      </c>
      <c r="F24" s="8">
        <f t="shared" si="13"/>
        <v>94380</v>
      </c>
      <c r="G24" s="8">
        <f t="shared" si="13"/>
        <v>102960</v>
      </c>
      <c r="H24" s="8">
        <f t="shared" si="13"/>
        <v>111540</v>
      </c>
      <c r="I24" s="8">
        <f t="shared" si="13"/>
        <v>120120</v>
      </c>
      <c r="J24" s="8">
        <f t="shared" si="13"/>
        <v>128700</v>
      </c>
      <c r="K24" s="8">
        <f t="shared" si="13"/>
        <v>137280</v>
      </c>
      <c r="L24" s="8">
        <f t="shared" si="13"/>
        <v>145860</v>
      </c>
      <c r="M24" s="8">
        <f t="shared" si="13"/>
        <v>154440</v>
      </c>
      <c r="N24" s="8">
        <f t="shared" si="13"/>
        <v>163020</v>
      </c>
      <c r="O24" s="8">
        <f t="shared" si="13"/>
        <v>171600</v>
      </c>
      <c r="P24" s="8">
        <f t="shared" si="13"/>
        <v>173000</v>
      </c>
      <c r="Q24" s="8">
        <f t="shared" si="13"/>
        <v>203000</v>
      </c>
      <c r="R24" s="8">
        <f t="shared" si="13"/>
        <v>233000</v>
      </c>
      <c r="S24" s="8">
        <f t="shared" si="13"/>
        <v>263000</v>
      </c>
      <c r="T24" s="8">
        <f t="shared" si="13"/>
        <v>293000</v>
      </c>
      <c r="U24" s="8">
        <f t="shared" si="13"/>
        <v>323000</v>
      </c>
      <c r="V24" s="8">
        <f t="shared" si="13"/>
        <v>353000</v>
      </c>
      <c r="W24" s="8">
        <f t="shared" si="13"/>
        <v>383000</v>
      </c>
      <c r="X24" s="8">
        <f t="shared" si="13"/>
        <v>413000</v>
      </c>
      <c r="Y24" s="8">
        <f t="shared" si="13"/>
        <v>443000</v>
      </c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41</v>
      </c>
      <c r="B26" s="8">
        <f t="shared" ref="B26:Y26" si="14">B4+B5</f>
        <v>41611.69</v>
      </c>
      <c r="C26" s="8">
        <f t="shared" si="14"/>
        <v>150000</v>
      </c>
      <c r="D26" s="8">
        <f t="shared" si="14"/>
        <v>12500</v>
      </c>
      <c r="E26" s="8">
        <f t="shared" si="14"/>
        <v>12500</v>
      </c>
      <c r="F26" s="8">
        <f t="shared" si="14"/>
        <v>12500</v>
      </c>
      <c r="G26" s="8">
        <f t="shared" si="14"/>
        <v>12500</v>
      </c>
      <c r="H26" s="8">
        <f t="shared" si="14"/>
        <v>12500</v>
      </c>
      <c r="I26" s="8">
        <f t="shared" si="14"/>
        <v>12500</v>
      </c>
      <c r="J26" s="8">
        <f t="shared" si="14"/>
        <v>12500</v>
      </c>
      <c r="K26" s="8">
        <f t="shared" si="14"/>
        <v>12500</v>
      </c>
      <c r="L26" s="8">
        <f t="shared" si="14"/>
        <v>12500</v>
      </c>
      <c r="M26" s="8">
        <f t="shared" si="14"/>
        <v>12500</v>
      </c>
      <c r="N26" s="8">
        <f t="shared" si="14"/>
        <v>12500</v>
      </c>
      <c r="O26" s="8">
        <f t="shared" si="14"/>
        <v>12500</v>
      </c>
      <c r="P26" s="8">
        <f t="shared" si="14"/>
        <v>11000</v>
      </c>
      <c r="Q26" s="8">
        <f t="shared" si="14"/>
        <v>11000</v>
      </c>
      <c r="R26" s="8">
        <f t="shared" si="14"/>
        <v>11000</v>
      </c>
      <c r="S26" s="8">
        <f t="shared" si="14"/>
        <v>11000</v>
      </c>
      <c r="T26" s="8">
        <f t="shared" si="14"/>
        <v>11000</v>
      </c>
      <c r="U26" s="8">
        <f t="shared" si="14"/>
        <v>11000</v>
      </c>
      <c r="V26" s="8">
        <f t="shared" si="14"/>
        <v>11000</v>
      </c>
      <c r="W26" s="8">
        <f t="shared" si="14"/>
        <v>11000</v>
      </c>
      <c r="X26" s="8">
        <f t="shared" si="14"/>
        <v>11000</v>
      </c>
      <c r="Y26" s="8">
        <f t="shared" si="14"/>
        <v>11000</v>
      </c>
      <c r="Z26" s="1"/>
    </row>
    <row r="27">
      <c r="A27" s="7" t="s">
        <v>43</v>
      </c>
      <c r="B27" s="8">
        <f t="shared" ref="B27:O27" si="15">B24-B26</f>
        <v>21599.51</v>
      </c>
      <c r="C27" s="8">
        <f t="shared" si="15"/>
        <v>785064</v>
      </c>
      <c r="D27" s="8">
        <f t="shared" si="15"/>
        <v>64720</v>
      </c>
      <c r="E27" s="8">
        <f t="shared" si="15"/>
        <v>73300</v>
      </c>
      <c r="F27" s="8">
        <f t="shared" si="15"/>
        <v>81880</v>
      </c>
      <c r="G27" s="8">
        <f t="shared" si="15"/>
        <v>90460</v>
      </c>
      <c r="H27" s="8">
        <f t="shared" si="15"/>
        <v>99040</v>
      </c>
      <c r="I27" s="8">
        <f t="shared" si="15"/>
        <v>107620</v>
      </c>
      <c r="J27" s="8">
        <f t="shared" si="15"/>
        <v>116200</v>
      </c>
      <c r="K27" s="8">
        <f t="shared" si="15"/>
        <v>124780</v>
      </c>
      <c r="L27" s="8">
        <f t="shared" si="15"/>
        <v>133360</v>
      </c>
      <c r="M27" s="8">
        <f t="shared" si="15"/>
        <v>141940</v>
      </c>
      <c r="N27" s="8">
        <f t="shared" si="15"/>
        <v>150520</v>
      </c>
      <c r="O27" s="8">
        <f t="shared" si="15"/>
        <v>159100</v>
      </c>
      <c r="P27" s="8" t="str">
        <f t="shared" ref="P27:Y27" si="16">P24-P26-#REF!</f>
        <v>#REF!</v>
      </c>
      <c r="Q27" s="8" t="str">
        <f t="shared" si="16"/>
        <v>#REF!</v>
      </c>
      <c r="R27" s="8" t="str">
        <f t="shared" si="16"/>
        <v>#REF!</v>
      </c>
      <c r="S27" s="8" t="str">
        <f t="shared" si="16"/>
        <v>#REF!</v>
      </c>
      <c r="T27" s="8" t="str">
        <f t="shared" si="16"/>
        <v>#REF!</v>
      </c>
      <c r="U27" s="8" t="str">
        <f t="shared" si="16"/>
        <v>#REF!</v>
      </c>
      <c r="V27" s="8" t="str">
        <f t="shared" si="16"/>
        <v>#REF!</v>
      </c>
      <c r="W27" s="8" t="str">
        <f t="shared" si="16"/>
        <v>#REF!</v>
      </c>
      <c r="X27" s="8" t="str">
        <f t="shared" si="16"/>
        <v>#REF!</v>
      </c>
      <c r="Y27" s="8" t="str">
        <f t="shared" si="16"/>
        <v>#REF!</v>
      </c>
      <c r="Z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>
      <c r="A29" s="24"/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/>
    </row>
    <row r="30" ht="49.5" customHeight="1">
      <c r="A30" s="24"/>
      <c r="B30" s="26"/>
      <c r="C30" s="24"/>
      <c r="D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 ht="15.75" customHeight="1">
      <c r="A31" s="24"/>
      <c r="B31" s="24"/>
      <c r="C31" s="24"/>
      <c r="D31" s="24"/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>
      <c r="A32" s="24"/>
      <c r="B32" s="24"/>
      <c r="C32" s="24"/>
      <c r="D32" s="24"/>
      <c r="E32" s="24"/>
      <c r="F32" s="27"/>
      <c r="G32" s="28"/>
      <c r="H32" s="28"/>
      <c r="I32" s="28"/>
      <c r="J32" s="2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>
      <c r="A33" s="24"/>
      <c r="B33" s="24"/>
      <c r="C33" s="24"/>
      <c r="D33" s="24"/>
      <c r="E33" s="24"/>
      <c r="F33" s="27"/>
      <c r="G33" s="28"/>
      <c r="H33" s="28"/>
      <c r="I33" s="28"/>
      <c r="J33" s="2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3" width="18.38"/>
    <col customWidth="1" min="4" max="9" width="13.5"/>
    <col customWidth="1" min="10" max="10" width="11.0"/>
    <col hidden="1" min="16" max="26" width="12.63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9" t="s">
        <v>20</v>
      </c>
      <c r="B3" s="8">
        <f t="shared" ref="B3:Y3" si="1">B4+B5</f>
        <v>41611.69</v>
      </c>
      <c r="C3" s="8">
        <f t="shared" si="1"/>
        <v>150000</v>
      </c>
      <c r="D3" s="8">
        <f t="shared" si="1"/>
        <v>12500</v>
      </c>
      <c r="E3" s="8">
        <f t="shared" si="1"/>
        <v>12500</v>
      </c>
      <c r="F3" s="8">
        <f t="shared" si="1"/>
        <v>12500</v>
      </c>
      <c r="G3" s="8">
        <f t="shared" si="1"/>
        <v>12500</v>
      </c>
      <c r="H3" s="8">
        <f t="shared" si="1"/>
        <v>12500</v>
      </c>
      <c r="I3" s="8">
        <f t="shared" si="1"/>
        <v>12500</v>
      </c>
      <c r="J3" s="8">
        <f t="shared" si="1"/>
        <v>12500</v>
      </c>
      <c r="K3" s="8">
        <f t="shared" si="1"/>
        <v>12500</v>
      </c>
      <c r="L3" s="8">
        <f t="shared" si="1"/>
        <v>12500</v>
      </c>
      <c r="M3" s="8">
        <f t="shared" si="1"/>
        <v>12500</v>
      </c>
      <c r="N3" s="8">
        <f t="shared" si="1"/>
        <v>12500</v>
      </c>
      <c r="O3" s="8">
        <f t="shared" si="1"/>
        <v>12500</v>
      </c>
      <c r="P3" s="8">
        <f t="shared" si="1"/>
        <v>11000</v>
      </c>
      <c r="Q3" s="8">
        <f t="shared" si="1"/>
        <v>11000</v>
      </c>
      <c r="R3" s="8">
        <f t="shared" si="1"/>
        <v>11000</v>
      </c>
      <c r="S3" s="8">
        <f t="shared" si="1"/>
        <v>11000</v>
      </c>
      <c r="T3" s="8">
        <f t="shared" si="1"/>
        <v>11000</v>
      </c>
      <c r="U3" s="8">
        <f t="shared" si="1"/>
        <v>11000</v>
      </c>
      <c r="V3" s="8">
        <f t="shared" si="1"/>
        <v>11000</v>
      </c>
      <c r="W3" s="8">
        <f t="shared" si="1"/>
        <v>11000</v>
      </c>
      <c r="X3" s="8">
        <f t="shared" si="1"/>
        <v>11000</v>
      </c>
      <c r="Y3" s="8">
        <f t="shared" si="1"/>
        <v>11000</v>
      </c>
      <c r="Z3" s="1"/>
    </row>
    <row r="4">
      <c r="A4" s="10" t="s">
        <v>21</v>
      </c>
      <c r="B4" s="10">
        <f>5000*4</f>
        <v>20000</v>
      </c>
      <c r="C4" s="10">
        <f>5000*12</f>
        <v>60000</v>
      </c>
      <c r="D4" s="11">
        <v>5000.0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7500.0</v>
      </c>
      <c r="Q4" s="11">
        <v>7500.0</v>
      </c>
      <c r="R4" s="11">
        <v>7500.0</v>
      </c>
      <c r="S4" s="11">
        <v>7500.0</v>
      </c>
      <c r="T4" s="11">
        <v>7500.0</v>
      </c>
      <c r="U4" s="11">
        <v>7500.0</v>
      </c>
      <c r="V4" s="11">
        <v>7500.0</v>
      </c>
      <c r="W4" s="11">
        <v>7500.0</v>
      </c>
      <c r="X4" s="11">
        <v>7500.0</v>
      </c>
      <c r="Y4" s="11">
        <v>7500.0</v>
      </c>
      <c r="Z4" s="1"/>
    </row>
    <row r="5">
      <c r="A5" s="10" t="s">
        <v>22</v>
      </c>
      <c r="B5" s="11">
        <v>21611.69</v>
      </c>
      <c r="C5" s="11">
        <v>90000.0</v>
      </c>
      <c r="D5" s="11">
        <v>7500.0</v>
      </c>
      <c r="E5" s="11">
        <v>7500.0</v>
      </c>
      <c r="F5" s="11">
        <v>7500.0</v>
      </c>
      <c r="G5" s="11">
        <v>7500.0</v>
      </c>
      <c r="H5" s="11">
        <v>7500.0</v>
      </c>
      <c r="I5" s="11">
        <v>7500.0</v>
      </c>
      <c r="J5" s="11">
        <v>7500.0</v>
      </c>
      <c r="K5" s="11">
        <v>7500.0</v>
      </c>
      <c r="L5" s="11">
        <v>7500.0</v>
      </c>
      <c r="M5" s="11">
        <v>7500.0</v>
      </c>
      <c r="N5" s="11">
        <v>7500.0</v>
      </c>
      <c r="O5" s="11">
        <v>7500.0</v>
      </c>
      <c r="P5" s="11">
        <v>3500.0</v>
      </c>
      <c r="Q5" s="11">
        <v>3500.0</v>
      </c>
      <c r="R5" s="11">
        <v>3500.0</v>
      </c>
      <c r="S5" s="11">
        <v>3500.0</v>
      </c>
      <c r="T5" s="11">
        <v>3500.0</v>
      </c>
      <c r="U5" s="11">
        <v>3500.0</v>
      </c>
      <c r="V5" s="11">
        <v>3500.0</v>
      </c>
      <c r="W5" s="11">
        <v>3500.0</v>
      </c>
      <c r="X5" s="11">
        <v>3500.0</v>
      </c>
      <c r="Y5" s="11">
        <v>3500.0</v>
      </c>
      <c r="Z5" s="1"/>
    </row>
    <row r="6">
      <c r="A6" s="9" t="s">
        <v>23</v>
      </c>
      <c r="B6" s="12">
        <v>808.0</v>
      </c>
      <c r="C6" s="13">
        <f t="shared" ref="C6:Y6" si="2">ROUNDDOWN(C5/C7,0)</f>
        <v>3333</v>
      </c>
      <c r="D6" s="13">
        <f t="shared" si="2"/>
        <v>277</v>
      </c>
      <c r="E6" s="13">
        <f t="shared" si="2"/>
        <v>277</v>
      </c>
      <c r="F6" s="13">
        <f t="shared" si="2"/>
        <v>277</v>
      </c>
      <c r="G6" s="13">
        <f t="shared" si="2"/>
        <v>277</v>
      </c>
      <c r="H6" s="13">
        <f t="shared" si="2"/>
        <v>277</v>
      </c>
      <c r="I6" s="13">
        <f t="shared" si="2"/>
        <v>277</v>
      </c>
      <c r="J6" s="13">
        <f t="shared" si="2"/>
        <v>277</v>
      </c>
      <c r="K6" s="13">
        <f t="shared" si="2"/>
        <v>277</v>
      </c>
      <c r="L6" s="13">
        <f t="shared" si="2"/>
        <v>277</v>
      </c>
      <c r="M6" s="13">
        <f t="shared" si="2"/>
        <v>277</v>
      </c>
      <c r="N6" s="13">
        <f t="shared" si="2"/>
        <v>277</v>
      </c>
      <c r="O6" s="13">
        <f t="shared" si="2"/>
        <v>277</v>
      </c>
      <c r="P6" s="13">
        <f t="shared" si="2"/>
        <v>43</v>
      </c>
      <c r="Q6" s="13">
        <f t="shared" si="2"/>
        <v>43</v>
      </c>
      <c r="R6" s="13">
        <f t="shared" si="2"/>
        <v>43</v>
      </c>
      <c r="S6" s="13">
        <f t="shared" si="2"/>
        <v>43</v>
      </c>
      <c r="T6" s="13">
        <f t="shared" si="2"/>
        <v>43</v>
      </c>
      <c r="U6" s="13">
        <f t="shared" si="2"/>
        <v>43</v>
      </c>
      <c r="V6" s="13">
        <f t="shared" si="2"/>
        <v>43</v>
      </c>
      <c r="W6" s="13">
        <f t="shared" si="2"/>
        <v>43</v>
      </c>
      <c r="X6" s="13">
        <f t="shared" si="2"/>
        <v>43</v>
      </c>
      <c r="Y6" s="13">
        <f t="shared" si="2"/>
        <v>43</v>
      </c>
      <c r="Z6" s="1"/>
    </row>
    <row r="7">
      <c r="A7" s="10" t="s">
        <v>24</v>
      </c>
      <c r="B7" s="10">
        <f>B5/B6</f>
        <v>26.74714109</v>
      </c>
      <c r="C7" s="11">
        <v>27.0</v>
      </c>
      <c r="D7" s="11">
        <v>27.0</v>
      </c>
      <c r="E7" s="11">
        <v>27.0</v>
      </c>
      <c r="F7" s="11">
        <v>27.0</v>
      </c>
      <c r="G7" s="11">
        <v>27.0</v>
      </c>
      <c r="H7" s="11">
        <v>27.0</v>
      </c>
      <c r="I7" s="11">
        <v>27.0</v>
      </c>
      <c r="J7" s="11">
        <v>27.0</v>
      </c>
      <c r="K7" s="11">
        <v>27.0</v>
      </c>
      <c r="L7" s="11">
        <v>27.0</v>
      </c>
      <c r="M7" s="11">
        <v>27.0</v>
      </c>
      <c r="N7" s="11">
        <v>27.0</v>
      </c>
      <c r="O7" s="11">
        <v>27.0</v>
      </c>
      <c r="P7" s="11">
        <v>80.0</v>
      </c>
      <c r="Q7" s="11">
        <v>80.0</v>
      </c>
      <c r="R7" s="11">
        <v>80.0</v>
      </c>
      <c r="S7" s="11">
        <v>80.0</v>
      </c>
      <c r="T7" s="11">
        <v>80.0</v>
      </c>
      <c r="U7" s="11">
        <v>80.0</v>
      </c>
      <c r="V7" s="11">
        <v>80.0</v>
      </c>
      <c r="W7" s="11">
        <v>80.0</v>
      </c>
      <c r="X7" s="11">
        <v>80.0</v>
      </c>
      <c r="Y7" s="11">
        <v>80.0</v>
      </c>
      <c r="Z7" s="1"/>
    </row>
    <row r="8" hidden="1">
      <c r="A8" s="10" t="s">
        <v>25</v>
      </c>
      <c r="B8" s="14">
        <f>B9/B6</f>
        <v>1.425742574</v>
      </c>
      <c r="C8" s="14">
        <v>1.0</v>
      </c>
      <c r="D8" s="14">
        <v>1.0</v>
      </c>
      <c r="E8" s="14">
        <v>1.0</v>
      </c>
      <c r="F8" s="14">
        <v>1.0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14">
        <v>1.0</v>
      </c>
      <c r="Q8" s="14">
        <v>1.0</v>
      </c>
      <c r="R8" s="14">
        <v>1.0</v>
      </c>
      <c r="S8" s="14">
        <v>1.0</v>
      </c>
      <c r="T8" s="14">
        <v>1.0</v>
      </c>
      <c r="U8" s="14">
        <v>1.0</v>
      </c>
      <c r="V8" s="14">
        <v>1.0</v>
      </c>
      <c r="W8" s="14">
        <v>1.0</v>
      </c>
      <c r="X8" s="14">
        <v>1.0</v>
      </c>
      <c r="Y8" s="14">
        <v>1.0</v>
      </c>
      <c r="Z8" s="1"/>
    </row>
    <row r="9" hidden="1">
      <c r="A9" s="13" t="s">
        <v>26</v>
      </c>
      <c r="B9" s="12">
        <v>1152.0</v>
      </c>
      <c r="C9" s="13">
        <f t="shared" ref="C9:Y9" si="3">ROUNDDOWN(C6*C8,0)</f>
        <v>3333</v>
      </c>
      <c r="D9" s="13">
        <f t="shared" si="3"/>
        <v>277</v>
      </c>
      <c r="E9" s="13">
        <f t="shared" si="3"/>
        <v>277</v>
      </c>
      <c r="F9" s="13">
        <f t="shared" si="3"/>
        <v>277</v>
      </c>
      <c r="G9" s="13">
        <f t="shared" si="3"/>
        <v>277</v>
      </c>
      <c r="H9" s="13">
        <f t="shared" si="3"/>
        <v>277</v>
      </c>
      <c r="I9" s="13">
        <f t="shared" si="3"/>
        <v>277</v>
      </c>
      <c r="J9" s="13">
        <f t="shared" si="3"/>
        <v>277</v>
      </c>
      <c r="K9" s="13">
        <f t="shared" si="3"/>
        <v>277</v>
      </c>
      <c r="L9" s="13">
        <f t="shared" si="3"/>
        <v>277</v>
      </c>
      <c r="M9" s="13">
        <f t="shared" si="3"/>
        <v>277</v>
      </c>
      <c r="N9" s="13">
        <f t="shared" si="3"/>
        <v>277</v>
      </c>
      <c r="O9" s="13">
        <f t="shared" si="3"/>
        <v>277</v>
      </c>
      <c r="P9" s="13">
        <f t="shared" si="3"/>
        <v>43</v>
      </c>
      <c r="Q9" s="13">
        <f t="shared" si="3"/>
        <v>43</v>
      </c>
      <c r="R9" s="13">
        <f t="shared" si="3"/>
        <v>43</v>
      </c>
      <c r="S9" s="13">
        <f t="shared" si="3"/>
        <v>43</v>
      </c>
      <c r="T9" s="13">
        <f t="shared" si="3"/>
        <v>43</v>
      </c>
      <c r="U9" s="13">
        <f t="shared" si="3"/>
        <v>43</v>
      </c>
      <c r="V9" s="13">
        <f t="shared" si="3"/>
        <v>43</v>
      </c>
      <c r="W9" s="13">
        <f t="shared" si="3"/>
        <v>43</v>
      </c>
      <c r="X9" s="13">
        <f t="shared" si="3"/>
        <v>43</v>
      </c>
      <c r="Y9" s="13">
        <f t="shared" si="3"/>
        <v>43</v>
      </c>
      <c r="Z9" s="1"/>
    </row>
    <row r="10" hidden="1">
      <c r="A10" s="10" t="s">
        <v>27</v>
      </c>
      <c r="B10" s="10">
        <f>B5/B9</f>
        <v>18.76014757</v>
      </c>
      <c r="C10" s="10">
        <v>222.91666666666666</v>
      </c>
      <c r="D10" s="10">
        <v>222.91666666666666</v>
      </c>
      <c r="E10" s="10">
        <v>222.91666666666666</v>
      </c>
      <c r="F10" s="10">
        <v>222.91666666666666</v>
      </c>
      <c r="G10" s="10">
        <v>222.91666666666666</v>
      </c>
      <c r="H10" s="10">
        <v>222.91666666666666</v>
      </c>
      <c r="I10" s="10">
        <v>222.91666666666666</v>
      </c>
      <c r="J10" s="10">
        <v>222.91666666666666</v>
      </c>
      <c r="K10" s="10">
        <v>222.91666666666666</v>
      </c>
      <c r="L10" s="10">
        <v>222.91666666666666</v>
      </c>
      <c r="M10" s="10">
        <v>222.91666666666666</v>
      </c>
      <c r="N10" s="10">
        <v>222.91666666666666</v>
      </c>
      <c r="O10" s="10">
        <v>222.91666666666666</v>
      </c>
      <c r="P10" s="10">
        <v>222.91666666666666</v>
      </c>
      <c r="Q10" s="10">
        <v>222.91666666666666</v>
      </c>
      <c r="R10" s="10">
        <v>222.91666666666666</v>
      </c>
      <c r="S10" s="10">
        <v>222.91666666666666</v>
      </c>
      <c r="T10" s="10">
        <v>222.91666666666666</v>
      </c>
      <c r="U10" s="10">
        <v>222.91666666666666</v>
      </c>
      <c r="V10" s="10">
        <v>222.91666666666666</v>
      </c>
      <c r="W10" s="10">
        <v>222.91666666666666</v>
      </c>
      <c r="X10" s="10">
        <v>222.91666666666666</v>
      </c>
      <c r="Y10" s="10">
        <v>222.91666666666666</v>
      </c>
      <c r="Z10" s="1"/>
    </row>
    <row r="11" hidden="1">
      <c r="A11" s="10" t="s">
        <v>28</v>
      </c>
      <c r="B11" s="14">
        <f>B12/B9</f>
        <v>1</v>
      </c>
      <c r="C11" s="15">
        <v>0.2</v>
      </c>
      <c r="D11" s="15">
        <v>0.17</v>
      </c>
      <c r="E11" s="15">
        <v>0.19</v>
      </c>
      <c r="F11" s="15">
        <v>0.21</v>
      </c>
      <c r="G11" s="15">
        <v>0.22</v>
      </c>
      <c r="H11" s="15">
        <v>0.23</v>
      </c>
      <c r="I11" s="15">
        <v>0.25</v>
      </c>
      <c r="J11" s="15">
        <v>0.25</v>
      </c>
      <c r="K11" s="15">
        <v>0.25</v>
      </c>
      <c r="L11" s="15">
        <v>0.25</v>
      </c>
      <c r="M11" s="15">
        <v>0.25</v>
      </c>
      <c r="N11" s="15">
        <v>0.25</v>
      </c>
      <c r="O11" s="15">
        <v>0.25</v>
      </c>
      <c r="P11" s="15">
        <v>0.25</v>
      </c>
      <c r="Q11" s="15">
        <v>0.25</v>
      </c>
      <c r="R11" s="15">
        <v>0.25</v>
      </c>
      <c r="S11" s="15">
        <v>0.25</v>
      </c>
      <c r="T11" s="15">
        <v>0.25</v>
      </c>
      <c r="U11" s="15">
        <v>0.25</v>
      </c>
      <c r="V11" s="15">
        <v>0.25</v>
      </c>
      <c r="W11" s="15">
        <v>0.25</v>
      </c>
      <c r="X11" s="15">
        <v>0.25</v>
      </c>
      <c r="Y11" s="15">
        <v>0.25</v>
      </c>
      <c r="Z11" s="1"/>
    </row>
    <row r="12" hidden="1">
      <c r="A12" s="16" t="s">
        <v>29</v>
      </c>
      <c r="B12" s="17">
        <v>1152.0</v>
      </c>
      <c r="C12" s="16">
        <f t="shared" ref="C12:Y12" si="4">ROUNDDOWN(C11*C9,0)</f>
        <v>666</v>
      </c>
      <c r="D12" s="16">
        <f t="shared" si="4"/>
        <v>47</v>
      </c>
      <c r="E12" s="16">
        <f t="shared" si="4"/>
        <v>52</v>
      </c>
      <c r="F12" s="16">
        <f t="shared" si="4"/>
        <v>58</v>
      </c>
      <c r="G12" s="16">
        <f t="shared" si="4"/>
        <v>60</v>
      </c>
      <c r="H12" s="16">
        <f t="shared" si="4"/>
        <v>63</v>
      </c>
      <c r="I12" s="16">
        <f t="shared" si="4"/>
        <v>69</v>
      </c>
      <c r="J12" s="16">
        <f t="shared" si="4"/>
        <v>69</v>
      </c>
      <c r="K12" s="16">
        <f t="shared" si="4"/>
        <v>69</v>
      </c>
      <c r="L12" s="16">
        <f t="shared" si="4"/>
        <v>69</v>
      </c>
      <c r="M12" s="16">
        <f t="shared" si="4"/>
        <v>69</v>
      </c>
      <c r="N12" s="16">
        <f t="shared" si="4"/>
        <v>69</v>
      </c>
      <c r="O12" s="16">
        <f t="shared" si="4"/>
        <v>69</v>
      </c>
      <c r="P12" s="16">
        <f t="shared" si="4"/>
        <v>10</v>
      </c>
      <c r="Q12" s="16">
        <f t="shared" si="4"/>
        <v>10</v>
      </c>
      <c r="R12" s="16">
        <f t="shared" si="4"/>
        <v>10</v>
      </c>
      <c r="S12" s="16">
        <f t="shared" si="4"/>
        <v>10</v>
      </c>
      <c r="T12" s="16">
        <f t="shared" si="4"/>
        <v>10</v>
      </c>
      <c r="U12" s="16">
        <f t="shared" si="4"/>
        <v>10</v>
      </c>
      <c r="V12" s="16">
        <f t="shared" si="4"/>
        <v>10</v>
      </c>
      <c r="W12" s="16">
        <f t="shared" si="4"/>
        <v>10</v>
      </c>
      <c r="X12" s="16">
        <f t="shared" si="4"/>
        <v>10</v>
      </c>
      <c r="Y12" s="16">
        <f t="shared" si="4"/>
        <v>10</v>
      </c>
      <c r="Z12" s="1"/>
    </row>
    <row r="13" hidden="1">
      <c r="A13" s="10" t="s">
        <v>30</v>
      </c>
      <c r="B13" s="10">
        <f>B5/B12</f>
        <v>18.76014757</v>
      </c>
      <c r="C13" s="10">
        <v>1528.5714285714287</v>
      </c>
      <c r="D13" s="10">
        <v>1528.5714285714287</v>
      </c>
      <c r="E13" s="10">
        <v>1528.5714285714287</v>
      </c>
      <c r="F13" s="10">
        <v>1528.5714285714287</v>
      </c>
      <c r="G13" s="10">
        <v>1528.5714285714287</v>
      </c>
      <c r="H13" s="10">
        <v>1528.5714285714287</v>
      </c>
      <c r="I13" s="10">
        <v>1528.5714285714287</v>
      </c>
      <c r="J13" s="10">
        <v>1528.5714285714287</v>
      </c>
      <c r="K13" s="10">
        <v>1528.5714285714287</v>
      </c>
      <c r="L13" s="10">
        <v>1528.5714285714287</v>
      </c>
      <c r="M13" s="10">
        <v>1528.5714285714287</v>
      </c>
      <c r="N13" s="10">
        <v>1528.5714285714287</v>
      </c>
      <c r="O13" s="10">
        <v>1528.5714285714287</v>
      </c>
      <c r="P13" s="10">
        <v>1528.5714285714287</v>
      </c>
      <c r="Q13" s="10">
        <v>1528.5714285714287</v>
      </c>
      <c r="R13" s="10">
        <v>1528.5714285714287</v>
      </c>
      <c r="S13" s="10">
        <v>1528.5714285714287</v>
      </c>
      <c r="T13" s="10">
        <v>1528.5714285714287</v>
      </c>
      <c r="U13" s="10">
        <v>1528.5714285714287</v>
      </c>
      <c r="V13" s="10">
        <v>1528.5714285714287</v>
      </c>
      <c r="W13" s="10">
        <v>1528.5714285714287</v>
      </c>
      <c r="X13" s="10">
        <v>1528.5714285714287</v>
      </c>
      <c r="Y13" s="10">
        <v>1528.5714285714287</v>
      </c>
      <c r="Z13" s="1"/>
    </row>
    <row r="14" hidden="1">
      <c r="A14" s="10" t="s">
        <v>31</v>
      </c>
      <c r="B14" s="18">
        <f>B15/B12</f>
        <v>0.06423611111</v>
      </c>
      <c r="C14" s="19">
        <v>0.25</v>
      </c>
      <c r="D14" s="19">
        <v>0.34</v>
      </c>
      <c r="E14" s="19">
        <v>0.34</v>
      </c>
      <c r="F14" s="19">
        <v>0.25</v>
      </c>
      <c r="G14" s="19">
        <v>0.25</v>
      </c>
      <c r="H14" s="19">
        <v>0.25</v>
      </c>
      <c r="I14" s="19">
        <v>0.25</v>
      </c>
      <c r="J14" s="19">
        <v>0.25</v>
      </c>
      <c r="K14" s="19">
        <v>0.25</v>
      </c>
      <c r="L14" s="19">
        <v>0.25</v>
      </c>
      <c r="M14" s="19">
        <v>0.25</v>
      </c>
      <c r="N14" s="19">
        <v>0.25</v>
      </c>
      <c r="O14" s="19">
        <v>0.25</v>
      </c>
      <c r="P14" s="19">
        <v>0.25</v>
      </c>
      <c r="Q14" s="19">
        <v>0.25</v>
      </c>
      <c r="R14" s="19">
        <v>0.25</v>
      </c>
      <c r="S14" s="19">
        <v>0.25</v>
      </c>
      <c r="T14" s="19">
        <v>0.25</v>
      </c>
      <c r="U14" s="19">
        <v>0.25</v>
      </c>
      <c r="V14" s="19">
        <v>0.25</v>
      </c>
      <c r="W14" s="19">
        <v>0.25</v>
      </c>
      <c r="X14" s="19">
        <v>0.25</v>
      </c>
      <c r="Y14" s="19">
        <v>0.25</v>
      </c>
      <c r="Z14" s="1"/>
    </row>
    <row r="15">
      <c r="A15" s="16" t="s">
        <v>32</v>
      </c>
      <c r="B15" s="17">
        <v>74.0</v>
      </c>
      <c r="C15" s="16">
        <f t="shared" ref="C15:O15" si="5">ROUNDDOWN(C17*C6,0)</f>
        <v>266</v>
      </c>
      <c r="D15" s="16">
        <f t="shared" si="5"/>
        <v>55</v>
      </c>
      <c r="E15" s="16">
        <f t="shared" si="5"/>
        <v>55</v>
      </c>
      <c r="F15" s="16">
        <f t="shared" si="5"/>
        <v>55</v>
      </c>
      <c r="G15" s="16">
        <f t="shared" si="5"/>
        <v>55</v>
      </c>
      <c r="H15" s="16">
        <f t="shared" si="5"/>
        <v>55</v>
      </c>
      <c r="I15" s="16">
        <f t="shared" si="5"/>
        <v>55</v>
      </c>
      <c r="J15" s="16">
        <f t="shared" si="5"/>
        <v>55</v>
      </c>
      <c r="K15" s="16">
        <f t="shared" si="5"/>
        <v>55</v>
      </c>
      <c r="L15" s="16">
        <f t="shared" si="5"/>
        <v>55</v>
      </c>
      <c r="M15" s="16">
        <f t="shared" si="5"/>
        <v>55</v>
      </c>
      <c r="N15" s="16">
        <f t="shared" si="5"/>
        <v>55</v>
      </c>
      <c r="O15" s="16">
        <f t="shared" si="5"/>
        <v>55</v>
      </c>
      <c r="P15" s="16">
        <f t="shared" ref="P15:Y15" si="6">ROUNDDOWN(P14*P12,0)</f>
        <v>2</v>
      </c>
      <c r="Q15" s="16">
        <f t="shared" si="6"/>
        <v>2</v>
      </c>
      <c r="R15" s="16">
        <f t="shared" si="6"/>
        <v>2</v>
      </c>
      <c r="S15" s="16">
        <f t="shared" si="6"/>
        <v>2</v>
      </c>
      <c r="T15" s="16">
        <f t="shared" si="6"/>
        <v>2</v>
      </c>
      <c r="U15" s="16">
        <f t="shared" si="6"/>
        <v>2</v>
      </c>
      <c r="V15" s="16">
        <f t="shared" si="6"/>
        <v>2</v>
      </c>
      <c r="W15" s="16">
        <f t="shared" si="6"/>
        <v>2</v>
      </c>
      <c r="X15" s="16">
        <f t="shared" si="6"/>
        <v>2</v>
      </c>
      <c r="Y15" s="16">
        <f t="shared" si="6"/>
        <v>2</v>
      </c>
      <c r="Z15" s="1"/>
    </row>
    <row r="16">
      <c r="A16" s="20" t="s">
        <v>33</v>
      </c>
      <c r="B16" s="10">
        <f t="shared" ref="B16:Y16" si="7">IFERROR(B5/B15,"0")</f>
        <v>292.0498649</v>
      </c>
      <c r="C16" s="10">
        <f t="shared" si="7"/>
        <v>338.3458647</v>
      </c>
      <c r="D16" s="10">
        <f t="shared" si="7"/>
        <v>136.3636364</v>
      </c>
      <c r="E16" s="10">
        <f t="shared" si="7"/>
        <v>136.3636364</v>
      </c>
      <c r="F16" s="10">
        <f t="shared" si="7"/>
        <v>136.3636364</v>
      </c>
      <c r="G16" s="10">
        <f t="shared" si="7"/>
        <v>136.3636364</v>
      </c>
      <c r="H16" s="10">
        <f t="shared" si="7"/>
        <v>136.3636364</v>
      </c>
      <c r="I16" s="10">
        <f t="shared" si="7"/>
        <v>136.3636364</v>
      </c>
      <c r="J16" s="10">
        <f t="shared" si="7"/>
        <v>136.3636364</v>
      </c>
      <c r="K16" s="10">
        <f t="shared" si="7"/>
        <v>136.3636364</v>
      </c>
      <c r="L16" s="10">
        <f t="shared" si="7"/>
        <v>136.3636364</v>
      </c>
      <c r="M16" s="10">
        <f t="shared" si="7"/>
        <v>136.3636364</v>
      </c>
      <c r="N16" s="10">
        <f t="shared" si="7"/>
        <v>136.3636364</v>
      </c>
      <c r="O16" s="10">
        <f t="shared" si="7"/>
        <v>136.3636364</v>
      </c>
      <c r="P16" s="10">
        <f t="shared" si="7"/>
        <v>1750</v>
      </c>
      <c r="Q16" s="10">
        <f t="shared" si="7"/>
        <v>1750</v>
      </c>
      <c r="R16" s="10">
        <f t="shared" si="7"/>
        <v>1750</v>
      </c>
      <c r="S16" s="10">
        <f t="shared" si="7"/>
        <v>1750</v>
      </c>
      <c r="T16" s="10">
        <f t="shared" si="7"/>
        <v>1750</v>
      </c>
      <c r="U16" s="10">
        <f t="shared" si="7"/>
        <v>1750</v>
      </c>
      <c r="V16" s="10">
        <f t="shared" si="7"/>
        <v>1750</v>
      </c>
      <c r="W16" s="10">
        <f t="shared" si="7"/>
        <v>1750</v>
      </c>
      <c r="X16" s="10">
        <f t="shared" si="7"/>
        <v>1750</v>
      </c>
      <c r="Y16" s="10">
        <f t="shared" si="7"/>
        <v>1750</v>
      </c>
      <c r="Z16" s="1"/>
    </row>
    <row r="17">
      <c r="A17" s="16" t="s">
        <v>34</v>
      </c>
      <c r="B17" s="21">
        <f>B14*B11*B8</f>
        <v>0.09158415842</v>
      </c>
      <c r="C17" s="22">
        <v>0.08</v>
      </c>
      <c r="D17" s="22">
        <v>0.2</v>
      </c>
      <c r="E17" s="22">
        <v>0.2</v>
      </c>
      <c r="F17" s="22">
        <v>0.2</v>
      </c>
      <c r="G17" s="22">
        <v>0.2</v>
      </c>
      <c r="H17" s="22">
        <v>0.2</v>
      </c>
      <c r="I17" s="22">
        <v>0.2</v>
      </c>
      <c r="J17" s="22">
        <v>0.2</v>
      </c>
      <c r="K17" s="22">
        <v>0.2</v>
      </c>
      <c r="L17" s="22">
        <v>0.2</v>
      </c>
      <c r="M17" s="22">
        <v>0.2</v>
      </c>
      <c r="N17" s="22">
        <v>0.2</v>
      </c>
      <c r="O17" s="22">
        <v>0.2</v>
      </c>
      <c r="P17" s="21">
        <f t="shared" ref="P17:Y17" si="8">P14*P11*P8</f>
        <v>0.0625</v>
      </c>
      <c r="Q17" s="21">
        <f t="shared" si="8"/>
        <v>0.0625</v>
      </c>
      <c r="R17" s="21">
        <f t="shared" si="8"/>
        <v>0.0625</v>
      </c>
      <c r="S17" s="21">
        <f t="shared" si="8"/>
        <v>0.0625</v>
      </c>
      <c r="T17" s="21">
        <f t="shared" si="8"/>
        <v>0.0625</v>
      </c>
      <c r="U17" s="21">
        <f t="shared" si="8"/>
        <v>0.0625</v>
      </c>
      <c r="V17" s="21">
        <f t="shared" si="8"/>
        <v>0.0625</v>
      </c>
      <c r="W17" s="21">
        <f t="shared" si="8"/>
        <v>0.0625</v>
      </c>
      <c r="X17" s="21">
        <f t="shared" si="8"/>
        <v>0.0625</v>
      </c>
      <c r="Y17" s="21">
        <f t="shared" si="8"/>
        <v>0.0625</v>
      </c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35</v>
      </c>
      <c r="B19" s="11">
        <v>260.0</v>
      </c>
      <c r="C19" s="11">
        <v>260.0</v>
      </c>
      <c r="D19" s="11">
        <v>260.0</v>
      </c>
      <c r="E19" s="11">
        <v>260.0</v>
      </c>
      <c r="F19" s="11">
        <v>260.0</v>
      </c>
      <c r="G19" s="11">
        <v>260.0</v>
      </c>
      <c r="H19" s="11">
        <v>260.0</v>
      </c>
      <c r="I19" s="11">
        <v>260.0</v>
      </c>
      <c r="J19" s="11">
        <v>260.0</v>
      </c>
      <c r="K19" s="11">
        <v>260.0</v>
      </c>
      <c r="L19" s="11">
        <v>260.0</v>
      </c>
      <c r="M19" s="11">
        <v>260.0</v>
      </c>
      <c r="N19" s="11">
        <v>260.0</v>
      </c>
      <c r="O19" s="11">
        <v>260.0</v>
      </c>
      <c r="P19" s="11">
        <v>30000.0</v>
      </c>
      <c r="Q19" s="11">
        <v>30000.0</v>
      </c>
      <c r="R19" s="11">
        <v>30000.0</v>
      </c>
      <c r="S19" s="11">
        <v>30000.0</v>
      </c>
      <c r="T19" s="11">
        <v>30000.0</v>
      </c>
      <c r="U19" s="11">
        <v>30000.0</v>
      </c>
      <c r="V19" s="11">
        <v>30000.0</v>
      </c>
      <c r="W19" s="11">
        <v>30000.0</v>
      </c>
      <c r="X19" s="11">
        <v>30000.0</v>
      </c>
      <c r="Y19" s="11">
        <v>30000.0</v>
      </c>
      <c r="Z19" s="1"/>
    </row>
    <row r="20">
      <c r="A20" s="23" t="s">
        <v>36</v>
      </c>
      <c r="B20" s="19">
        <v>0.6</v>
      </c>
      <c r="C20" s="19">
        <v>0.6</v>
      </c>
      <c r="D20" s="19">
        <v>0.6</v>
      </c>
      <c r="E20" s="19">
        <v>0.6</v>
      </c>
      <c r="F20" s="19">
        <v>0.6</v>
      </c>
      <c r="G20" s="19">
        <v>0.6</v>
      </c>
      <c r="H20" s="19">
        <v>0.6</v>
      </c>
      <c r="I20" s="19">
        <v>0.6</v>
      </c>
      <c r="J20" s="19">
        <v>0.6</v>
      </c>
      <c r="K20" s="19">
        <v>0.6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0.5</v>
      </c>
      <c r="R20" s="19">
        <v>0.5</v>
      </c>
      <c r="S20" s="19">
        <v>0.5</v>
      </c>
      <c r="T20" s="19">
        <v>0.5</v>
      </c>
      <c r="U20" s="19">
        <v>0.5</v>
      </c>
      <c r="V20" s="19">
        <v>0.5</v>
      </c>
      <c r="W20" s="19">
        <v>0.5</v>
      </c>
      <c r="X20" s="19">
        <v>0.5</v>
      </c>
      <c r="Y20" s="19">
        <v>0.5</v>
      </c>
      <c r="Z20" s="1"/>
    </row>
    <row r="21">
      <c r="A21" s="8" t="s">
        <v>37</v>
      </c>
      <c r="B21" s="7">
        <v>105352.0</v>
      </c>
      <c r="C21" s="8">
        <f t="shared" ref="C21:Y21" si="9">C19*C15</f>
        <v>69160</v>
      </c>
      <c r="D21" s="8">
        <f t="shared" si="9"/>
        <v>14300</v>
      </c>
      <c r="E21" s="8">
        <f t="shared" si="9"/>
        <v>14300</v>
      </c>
      <c r="F21" s="8">
        <f t="shared" si="9"/>
        <v>14300</v>
      </c>
      <c r="G21" s="8">
        <f t="shared" si="9"/>
        <v>14300</v>
      </c>
      <c r="H21" s="8">
        <f t="shared" si="9"/>
        <v>14300</v>
      </c>
      <c r="I21" s="8">
        <f t="shared" si="9"/>
        <v>14300</v>
      </c>
      <c r="J21" s="8">
        <f t="shared" si="9"/>
        <v>14300</v>
      </c>
      <c r="K21" s="8">
        <f t="shared" si="9"/>
        <v>14300</v>
      </c>
      <c r="L21" s="8">
        <f t="shared" si="9"/>
        <v>14300</v>
      </c>
      <c r="M21" s="8">
        <f t="shared" si="9"/>
        <v>14300</v>
      </c>
      <c r="N21" s="8">
        <f t="shared" si="9"/>
        <v>14300</v>
      </c>
      <c r="O21" s="8">
        <f t="shared" si="9"/>
        <v>14300</v>
      </c>
      <c r="P21" s="8">
        <f t="shared" si="9"/>
        <v>60000</v>
      </c>
      <c r="Q21" s="8">
        <f t="shared" si="9"/>
        <v>60000</v>
      </c>
      <c r="R21" s="8">
        <f t="shared" si="9"/>
        <v>60000</v>
      </c>
      <c r="S21" s="8">
        <f t="shared" si="9"/>
        <v>60000</v>
      </c>
      <c r="T21" s="8">
        <f t="shared" si="9"/>
        <v>60000</v>
      </c>
      <c r="U21" s="8">
        <f t="shared" si="9"/>
        <v>60000</v>
      </c>
      <c r="V21" s="8">
        <f t="shared" si="9"/>
        <v>60000</v>
      </c>
      <c r="W21" s="8">
        <f t="shared" si="9"/>
        <v>60000</v>
      </c>
      <c r="X21" s="8">
        <f t="shared" si="9"/>
        <v>60000</v>
      </c>
      <c r="Y21" s="8">
        <f t="shared" si="9"/>
        <v>60000</v>
      </c>
      <c r="Z21" s="1"/>
    </row>
    <row r="22">
      <c r="A22" s="8" t="s">
        <v>38</v>
      </c>
      <c r="B22" s="7">
        <v>105352.0</v>
      </c>
      <c r="C22" s="8">
        <f t="shared" ref="C22:D22" si="10">C21*12</f>
        <v>829920</v>
      </c>
      <c r="D22" s="8">
        <f t="shared" si="10"/>
        <v>171600</v>
      </c>
      <c r="E22" s="8">
        <f t="shared" ref="E22:Y22" si="11">D22+E21</f>
        <v>185900</v>
      </c>
      <c r="F22" s="8">
        <f t="shared" si="11"/>
        <v>200200</v>
      </c>
      <c r="G22" s="8">
        <f t="shared" si="11"/>
        <v>214500</v>
      </c>
      <c r="H22" s="8">
        <f t="shared" si="11"/>
        <v>228800</v>
      </c>
      <c r="I22" s="8">
        <f t="shared" si="11"/>
        <v>243100</v>
      </c>
      <c r="J22" s="8">
        <f t="shared" si="11"/>
        <v>257400</v>
      </c>
      <c r="K22" s="8">
        <f t="shared" si="11"/>
        <v>271700</v>
      </c>
      <c r="L22" s="8">
        <f t="shared" si="11"/>
        <v>286000</v>
      </c>
      <c r="M22" s="8">
        <f t="shared" si="11"/>
        <v>300300</v>
      </c>
      <c r="N22" s="8">
        <f t="shared" si="11"/>
        <v>314600</v>
      </c>
      <c r="O22" s="8">
        <f t="shared" si="11"/>
        <v>328900</v>
      </c>
      <c r="P22" s="8">
        <f t="shared" si="11"/>
        <v>388900</v>
      </c>
      <c r="Q22" s="8">
        <f t="shared" si="11"/>
        <v>448900</v>
      </c>
      <c r="R22" s="8">
        <f t="shared" si="11"/>
        <v>508900</v>
      </c>
      <c r="S22" s="8">
        <f t="shared" si="11"/>
        <v>568900</v>
      </c>
      <c r="T22" s="8">
        <f t="shared" si="11"/>
        <v>628900</v>
      </c>
      <c r="U22" s="8">
        <f t="shared" si="11"/>
        <v>688900</v>
      </c>
      <c r="V22" s="8">
        <f t="shared" si="11"/>
        <v>748900</v>
      </c>
      <c r="W22" s="8">
        <f t="shared" si="11"/>
        <v>808900</v>
      </c>
      <c r="X22" s="8">
        <f t="shared" si="11"/>
        <v>868900</v>
      </c>
      <c r="Y22" s="8">
        <f t="shared" si="11"/>
        <v>928900</v>
      </c>
      <c r="Z22" s="1"/>
    </row>
    <row r="23">
      <c r="A23" s="8" t="s">
        <v>39</v>
      </c>
      <c r="B23" s="8">
        <f t="shared" ref="B23:Y23" si="12">B21*B20</f>
        <v>63211.2</v>
      </c>
      <c r="C23" s="8">
        <f t="shared" si="12"/>
        <v>41496</v>
      </c>
      <c r="D23" s="8">
        <f t="shared" si="12"/>
        <v>8580</v>
      </c>
      <c r="E23" s="8">
        <f t="shared" si="12"/>
        <v>8580</v>
      </c>
      <c r="F23" s="8">
        <f t="shared" si="12"/>
        <v>8580</v>
      </c>
      <c r="G23" s="8">
        <f t="shared" si="12"/>
        <v>8580</v>
      </c>
      <c r="H23" s="8">
        <f t="shared" si="12"/>
        <v>8580</v>
      </c>
      <c r="I23" s="8">
        <f t="shared" si="12"/>
        <v>8580</v>
      </c>
      <c r="J23" s="8">
        <f t="shared" si="12"/>
        <v>8580</v>
      </c>
      <c r="K23" s="8">
        <f t="shared" si="12"/>
        <v>8580</v>
      </c>
      <c r="L23" s="8">
        <f t="shared" si="12"/>
        <v>8580</v>
      </c>
      <c r="M23" s="8">
        <f t="shared" si="12"/>
        <v>8580</v>
      </c>
      <c r="N23" s="8">
        <f t="shared" si="12"/>
        <v>8580</v>
      </c>
      <c r="O23" s="8">
        <f t="shared" si="12"/>
        <v>8580</v>
      </c>
      <c r="P23" s="8">
        <f t="shared" si="12"/>
        <v>30000</v>
      </c>
      <c r="Q23" s="8">
        <f t="shared" si="12"/>
        <v>30000</v>
      </c>
      <c r="R23" s="8">
        <f t="shared" si="12"/>
        <v>30000</v>
      </c>
      <c r="S23" s="8">
        <f t="shared" si="12"/>
        <v>30000</v>
      </c>
      <c r="T23" s="8">
        <f t="shared" si="12"/>
        <v>30000</v>
      </c>
      <c r="U23" s="8">
        <f t="shared" si="12"/>
        <v>30000</v>
      </c>
      <c r="V23" s="8">
        <f t="shared" si="12"/>
        <v>30000</v>
      </c>
      <c r="W23" s="8">
        <f t="shared" si="12"/>
        <v>30000</v>
      </c>
      <c r="X23" s="8">
        <f t="shared" si="12"/>
        <v>30000</v>
      </c>
      <c r="Y23" s="8">
        <f t="shared" si="12"/>
        <v>30000</v>
      </c>
      <c r="Z23" s="1"/>
    </row>
    <row r="24">
      <c r="A24" s="8" t="s">
        <v>40</v>
      </c>
      <c r="B24" s="8">
        <f t="shared" ref="B24:Y24" si="13">B20*B22</f>
        <v>63211.2</v>
      </c>
      <c r="C24" s="8">
        <f t="shared" si="13"/>
        <v>497952</v>
      </c>
      <c r="D24" s="8">
        <f t="shared" si="13"/>
        <v>102960</v>
      </c>
      <c r="E24" s="8">
        <f t="shared" si="13"/>
        <v>111540</v>
      </c>
      <c r="F24" s="8">
        <f t="shared" si="13"/>
        <v>120120</v>
      </c>
      <c r="G24" s="8">
        <f t="shared" si="13"/>
        <v>128700</v>
      </c>
      <c r="H24" s="8">
        <f t="shared" si="13"/>
        <v>137280</v>
      </c>
      <c r="I24" s="8">
        <f t="shared" si="13"/>
        <v>145860</v>
      </c>
      <c r="J24" s="8">
        <f t="shared" si="13"/>
        <v>154440</v>
      </c>
      <c r="K24" s="8">
        <f t="shared" si="13"/>
        <v>163020</v>
      </c>
      <c r="L24" s="8">
        <f t="shared" si="13"/>
        <v>171600</v>
      </c>
      <c r="M24" s="8">
        <f t="shared" si="13"/>
        <v>180180</v>
      </c>
      <c r="N24" s="8">
        <f t="shared" si="13"/>
        <v>188760</v>
      </c>
      <c r="O24" s="8">
        <f t="shared" si="13"/>
        <v>197340</v>
      </c>
      <c r="P24" s="8">
        <f t="shared" si="13"/>
        <v>194450</v>
      </c>
      <c r="Q24" s="8">
        <f t="shared" si="13"/>
        <v>224450</v>
      </c>
      <c r="R24" s="8">
        <f t="shared" si="13"/>
        <v>254450</v>
      </c>
      <c r="S24" s="8">
        <f t="shared" si="13"/>
        <v>284450</v>
      </c>
      <c r="T24" s="8">
        <f t="shared" si="13"/>
        <v>314450</v>
      </c>
      <c r="U24" s="8">
        <f t="shared" si="13"/>
        <v>344450</v>
      </c>
      <c r="V24" s="8">
        <f t="shared" si="13"/>
        <v>374450</v>
      </c>
      <c r="W24" s="8">
        <f t="shared" si="13"/>
        <v>404450</v>
      </c>
      <c r="X24" s="8">
        <f t="shared" si="13"/>
        <v>434450</v>
      </c>
      <c r="Y24" s="8">
        <f t="shared" si="13"/>
        <v>464450</v>
      </c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41</v>
      </c>
      <c r="B26" s="8">
        <f t="shared" ref="B26:Y26" si="14">B4+B5</f>
        <v>41611.69</v>
      </c>
      <c r="C26" s="8">
        <f t="shared" si="14"/>
        <v>150000</v>
      </c>
      <c r="D26" s="8">
        <f t="shared" si="14"/>
        <v>12500</v>
      </c>
      <c r="E26" s="8">
        <f t="shared" si="14"/>
        <v>12500</v>
      </c>
      <c r="F26" s="8">
        <f t="shared" si="14"/>
        <v>12500</v>
      </c>
      <c r="G26" s="8">
        <f t="shared" si="14"/>
        <v>12500</v>
      </c>
      <c r="H26" s="8">
        <f t="shared" si="14"/>
        <v>12500</v>
      </c>
      <c r="I26" s="8">
        <f t="shared" si="14"/>
        <v>12500</v>
      </c>
      <c r="J26" s="8">
        <f t="shared" si="14"/>
        <v>12500</v>
      </c>
      <c r="K26" s="8">
        <f t="shared" si="14"/>
        <v>12500</v>
      </c>
      <c r="L26" s="8">
        <f t="shared" si="14"/>
        <v>12500</v>
      </c>
      <c r="M26" s="8">
        <f t="shared" si="14"/>
        <v>12500</v>
      </c>
      <c r="N26" s="8">
        <f t="shared" si="14"/>
        <v>12500</v>
      </c>
      <c r="O26" s="8">
        <f t="shared" si="14"/>
        <v>12500</v>
      </c>
      <c r="P26" s="8">
        <f t="shared" si="14"/>
        <v>11000</v>
      </c>
      <c r="Q26" s="8">
        <f t="shared" si="14"/>
        <v>11000</v>
      </c>
      <c r="R26" s="8">
        <f t="shared" si="14"/>
        <v>11000</v>
      </c>
      <c r="S26" s="8">
        <f t="shared" si="14"/>
        <v>11000</v>
      </c>
      <c r="T26" s="8">
        <f t="shared" si="14"/>
        <v>11000</v>
      </c>
      <c r="U26" s="8">
        <f t="shared" si="14"/>
        <v>11000</v>
      </c>
      <c r="V26" s="8">
        <f t="shared" si="14"/>
        <v>11000</v>
      </c>
      <c r="W26" s="8">
        <f t="shared" si="14"/>
        <v>11000</v>
      </c>
      <c r="X26" s="8">
        <f t="shared" si="14"/>
        <v>11000</v>
      </c>
      <c r="Y26" s="8">
        <f t="shared" si="14"/>
        <v>11000</v>
      </c>
      <c r="Z26" s="1"/>
    </row>
    <row r="27">
      <c r="A27" s="7" t="s">
        <v>43</v>
      </c>
      <c r="B27" s="8">
        <f t="shared" ref="B27:O27" si="15">B24-B26</f>
        <v>21599.51</v>
      </c>
      <c r="C27" s="8">
        <f t="shared" si="15"/>
        <v>347952</v>
      </c>
      <c r="D27" s="8">
        <f t="shared" si="15"/>
        <v>90460</v>
      </c>
      <c r="E27" s="8">
        <f t="shared" si="15"/>
        <v>99040</v>
      </c>
      <c r="F27" s="8">
        <f t="shared" si="15"/>
        <v>107620</v>
      </c>
      <c r="G27" s="8">
        <f t="shared" si="15"/>
        <v>116200</v>
      </c>
      <c r="H27" s="8">
        <f t="shared" si="15"/>
        <v>124780</v>
      </c>
      <c r="I27" s="8">
        <f t="shared" si="15"/>
        <v>133360</v>
      </c>
      <c r="J27" s="8">
        <f t="shared" si="15"/>
        <v>141940</v>
      </c>
      <c r="K27" s="8">
        <f t="shared" si="15"/>
        <v>150520</v>
      </c>
      <c r="L27" s="8">
        <f t="shared" si="15"/>
        <v>159100</v>
      </c>
      <c r="M27" s="8">
        <f t="shared" si="15"/>
        <v>167680</v>
      </c>
      <c r="N27" s="8">
        <f t="shared" si="15"/>
        <v>176260</v>
      </c>
      <c r="O27" s="8">
        <f t="shared" si="15"/>
        <v>184840</v>
      </c>
      <c r="P27" s="8" t="str">
        <f t="shared" ref="P27:Y27" si="16">P24-P26-#REF!</f>
        <v>#REF!</v>
      </c>
      <c r="Q27" s="8" t="str">
        <f t="shared" si="16"/>
        <v>#REF!</v>
      </c>
      <c r="R27" s="8" t="str">
        <f t="shared" si="16"/>
        <v>#REF!</v>
      </c>
      <c r="S27" s="8" t="str">
        <f t="shared" si="16"/>
        <v>#REF!</v>
      </c>
      <c r="T27" s="8" t="str">
        <f t="shared" si="16"/>
        <v>#REF!</v>
      </c>
      <c r="U27" s="8" t="str">
        <f t="shared" si="16"/>
        <v>#REF!</v>
      </c>
      <c r="V27" s="8" t="str">
        <f t="shared" si="16"/>
        <v>#REF!</v>
      </c>
      <c r="W27" s="8" t="str">
        <f t="shared" si="16"/>
        <v>#REF!</v>
      </c>
      <c r="X27" s="8" t="str">
        <f t="shared" si="16"/>
        <v>#REF!</v>
      </c>
      <c r="Y27" s="8" t="str">
        <f t="shared" si="16"/>
        <v>#REF!</v>
      </c>
      <c r="Z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>
      <c r="A29" s="24"/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/>
    </row>
    <row r="30" ht="49.5" customHeight="1">
      <c r="A30" s="24"/>
      <c r="B30" s="26"/>
      <c r="C30" s="24"/>
      <c r="D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 ht="15.75" customHeight="1">
      <c r="A31" s="24"/>
      <c r="B31" s="24"/>
      <c r="C31" s="24"/>
      <c r="D31" s="24"/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>
      <c r="A32" s="24"/>
      <c r="B32" s="24"/>
      <c r="C32" s="24"/>
      <c r="D32" s="24"/>
      <c r="E32" s="24"/>
      <c r="F32" s="27"/>
      <c r="G32" s="28"/>
      <c r="H32" s="28"/>
      <c r="I32" s="28"/>
      <c r="J32" s="2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>
      <c r="A33" s="24"/>
      <c r="B33" s="24"/>
      <c r="C33" s="24"/>
      <c r="D33" s="24"/>
      <c r="E33" s="24"/>
      <c r="F33" s="27"/>
      <c r="G33" s="28"/>
      <c r="H33" s="28"/>
      <c r="I33" s="28"/>
      <c r="J33" s="2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9.75"/>
    <col customWidth="1" min="2" max="2" width="18.38"/>
    <col customWidth="1" hidden="1" min="3" max="3" width="18.38"/>
    <col customWidth="1" min="4" max="9" width="13.5"/>
    <col customWidth="1" min="10" max="10" width="11.0"/>
    <col hidden="1" min="16" max="26" width="12.63"/>
  </cols>
  <sheetData>
    <row r="1">
      <c r="A1" s="1"/>
      <c r="B1" s="2"/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/>
      <c r="B2" s="5" t="s">
        <v>44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7</v>
      </c>
      <c r="T2" s="5" t="s">
        <v>8</v>
      </c>
      <c r="U2" s="5" t="s">
        <v>9</v>
      </c>
      <c r="V2" s="5" t="s">
        <v>10</v>
      </c>
      <c r="W2" s="5" t="s">
        <v>11</v>
      </c>
      <c r="X2" s="5" t="s">
        <v>12</v>
      </c>
      <c r="Y2" s="5" t="s">
        <v>13</v>
      </c>
      <c r="Z2" s="1"/>
    </row>
    <row r="3">
      <c r="A3" s="9" t="s">
        <v>20</v>
      </c>
      <c r="B3" s="8">
        <f t="shared" ref="B3:Y3" si="1">B4+B5</f>
        <v>63915.32</v>
      </c>
      <c r="C3" s="8">
        <f t="shared" si="1"/>
        <v>150000</v>
      </c>
      <c r="D3" s="8">
        <f t="shared" si="1"/>
        <v>12500</v>
      </c>
      <c r="E3" s="8">
        <f t="shared" si="1"/>
        <v>12500</v>
      </c>
      <c r="F3" s="8">
        <f t="shared" si="1"/>
        <v>12500</v>
      </c>
      <c r="G3" s="8">
        <f t="shared" si="1"/>
        <v>12500</v>
      </c>
      <c r="H3" s="8">
        <f t="shared" si="1"/>
        <v>12500</v>
      </c>
      <c r="I3" s="8">
        <f t="shared" si="1"/>
        <v>12500</v>
      </c>
      <c r="J3" s="8">
        <f t="shared" si="1"/>
        <v>12500</v>
      </c>
      <c r="K3" s="8">
        <f t="shared" si="1"/>
        <v>12500</v>
      </c>
      <c r="L3" s="8">
        <f t="shared" si="1"/>
        <v>12500</v>
      </c>
      <c r="M3" s="8">
        <f t="shared" si="1"/>
        <v>12500</v>
      </c>
      <c r="N3" s="8">
        <f t="shared" si="1"/>
        <v>12500</v>
      </c>
      <c r="O3" s="8">
        <f t="shared" si="1"/>
        <v>12500</v>
      </c>
      <c r="P3" s="8">
        <f t="shared" si="1"/>
        <v>11000</v>
      </c>
      <c r="Q3" s="8">
        <f t="shared" si="1"/>
        <v>11000</v>
      </c>
      <c r="R3" s="8">
        <f t="shared" si="1"/>
        <v>11000</v>
      </c>
      <c r="S3" s="8">
        <f t="shared" si="1"/>
        <v>11000</v>
      </c>
      <c r="T3" s="8">
        <f t="shared" si="1"/>
        <v>11000</v>
      </c>
      <c r="U3" s="8">
        <f t="shared" si="1"/>
        <v>11000</v>
      </c>
      <c r="V3" s="8">
        <f t="shared" si="1"/>
        <v>11000</v>
      </c>
      <c r="W3" s="8">
        <f t="shared" si="1"/>
        <v>11000</v>
      </c>
      <c r="X3" s="8">
        <f t="shared" si="1"/>
        <v>11000</v>
      </c>
      <c r="Y3" s="8">
        <f t="shared" si="1"/>
        <v>11000</v>
      </c>
      <c r="Z3" s="1"/>
    </row>
    <row r="4">
      <c r="A4" s="10" t="s">
        <v>21</v>
      </c>
      <c r="B4" s="10">
        <f>5000*6</f>
        <v>30000</v>
      </c>
      <c r="C4" s="10">
        <f>5000*12</f>
        <v>60000</v>
      </c>
      <c r="D4" s="11">
        <v>5000.0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7500.0</v>
      </c>
      <c r="Q4" s="11">
        <v>7500.0</v>
      </c>
      <c r="R4" s="11">
        <v>7500.0</v>
      </c>
      <c r="S4" s="11">
        <v>7500.0</v>
      </c>
      <c r="T4" s="11">
        <v>7500.0</v>
      </c>
      <c r="U4" s="11">
        <v>7500.0</v>
      </c>
      <c r="V4" s="11">
        <v>7500.0</v>
      </c>
      <c r="W4" s="11">
        <v>7500.0</v>
      </c>
      <c r="X4" s="11">
        <v>7500.0</v>
      </c>
      <c r="Y4" s="11">
        <v>7500.0</v>
      </c>
      <c r="Z4" s="1"/>
    </row>
    <row r="5">
      <c r="A5" s="10" t="s">
        <v>22</v>
      </c>
      <c r="B5" s="11">
        <v>33915.32</v>
      </c>
      <c r="C5" s="11">
        <v>90000.0</v>
      </c>
      <c r="D5" s="11">
        <v>7500.0</v>
      </c>
      <c r="E5" s="11">
        <v>7500.0</v>
      </c>
      <c r="F5" s="11">
        <v>7500.0</v>
      </c>
      <c r="G5" s="11">
        <v>7500.0</v>
      </c>
      <c r="H5" s="11">
        <v>7500.0</v>
      </c>
      <c r="I5" s="11">
        <v>7500.0</v>
      </c>
      <c r="J5" s="11">
        <v>7500.0</v>
      </c>
      <c r="K5" s="11">
        <v>7500.0</v>
      </c>
      <c r="L5" s="11">
        <v>7500.0</v>
      </c>
      <c r="M5" s="11">
        <v>7500.0</v>
      </c>
      <c r="N5" s="11">
        <v>7500.0</v>
      </c>
      <c r="O5" s="11">
        <v>7500.0</v>
      </c>
      <c r="P5" s="11">
        <v>3500.0</v>
      </c>
      <c r="Q5" s="11">
        <v>3500.0</v>
      </c>
      <c r="R5" s="11">
        <v>3500.0</v>
      </c>
      <c r="S5" s="11">
        <v>3500.0</v>
      </c>
      <c r="T5" s="11">
        <v>3500.0</v>
      </c>
      <c r="U5" s="11">
        <v>3500.0</v>
      </c>
      <c r="V5" s="11">
        <v>3500.0</v>
      </c>
      <c r="W5" s="11">
        <v>3500.0</v>
      </c>
      <c r="X5" s="11">
        <v>3500.0</v>
      </c>
      <c r="Y5" s="11">
        <v>3500.0</v>
      </c>
      <c r="Z5" s="1"/>
    </row>
    <row r="6">
      <c r="A6" s="9" t="s">
        <v>23</v>
      </c>
      <c r="B6" s="12">
        <v>808.0</v>
      </c>
      <c r="C6" s="13">
        <f t="shared" ref="C6:Y6" si="2">ROUNDDOWN(C5/C7,0)</f>
        <v>3333</v>
      </c>
      <c r="D6" s="13">
        <f t="shared" si="2"/>
        <v>277</v>
      </c>
      <c r="E6" s="13">
        <f t="shared" si="2"/>
        <v>277</v>
      </c>
      <c r="F6" s="13">
        <f t="shared" si="2"/>
        <v>277</v>
      </c>
      <c r="G6" s="13">
        <f t="shared" si="2"/>
        <v>277</v>
      </c>
      <c r="H6" s="13">
        <f t="shared" si="2"/>
        <v>277</v>
      </c>
      <c r="I6" s="13">
        <f t="shared" si="2"/>
        <v>277</v>
      </c>
      <c r="J6" s="13">
        <f t="shared" si="2"/>
        <v>277</v>
      </c>
      <c r="K6" s="13">
        <f t="shared" si="2"/>
        <v>277</v>
      </c>
      <c r="L6" s="13">
        <f t="shared" si="2"/>
        <v>277</v>
      </c>
      <c r="M6" s="13">
        <f t="shared" si="2"/>
        <v>277</v>
      </c>
      <c r="N6" s="13">
        <f t="shared" si="2"/>
        <v>277</v>
      </c>
      <c r="O6" s="13">
        <f t="shared" si="2"/>
        <v>277</v>
      </c>
      <c r="P6" s="13">
        <f t="shared" si="2"/>
        <v>43</v>
      </c>
      <c r="Q6" s="13">
        <f t="shared" si="2"/>
        <v>43</v>
      </c>
      <c r="R6" s="13">
        <f t="shared" si="2"/>
        <v>43</v>
      </c>
      <c r="S6" s="13">
        <f t="shared" si="2"/>
        <v>43</v>
      </c>
      <c r="T6" s="13">
        <f t="shared" si="2"/>
        <v>43</v>
      </c>
      <c r="U6" s="13">
        <f t="shared" si="2"/>
        <v>43</v>
      </c>
      <c r="V6" s="13">
        <f t="shared" si="2"/>
        <v>43</v>
      </c>
      <c r="W6" s="13">
        <f t="shared" si="2"/>
        <v>43</v>
      </c>
      <c r="X6" s="13">
        <f t="shared" si="2"/>
        <v>43</v>
      </c>
      <c r="Y6" s="13">
        <f t="shared" si="2"/>
        <v>43</v>
      </c>
      <c r="Z6" s="1"/>
    </row>
    <row r="7">
      <c r="A7" s="10" t="s">
        <v>24</v>
      </c>
      <c r="B7" s="10">
        <f>B5/B6</f>
        <v>41.97440594</v>
      </c>
      <c r="C7" s="11">
        <v>27.0</v>
      </c>
      <c r="D7" s="11">
        <v>27.0</v>
      </c>
      <c r="E7" s="11">
        <v>27.0</v>
      </c>
      <c r="F7" s="11">
        <v>27.0</v>
      </c>
      <c r="G7" s="11">
        <v>27.0</v>
      </c>
      <c r="H7" s="11">
        <v>27.0</v>
      </c>
      <c r="I7" s="11">
        <v>27.0</v>
      </c>
      <c r="J7" s="11">
        <v>27.0</v>
      </c>
      <c r="K7" s="11">
        <v>27.0</v>
      </c>
      <c r="L7" s="11">
        <v>27.0</v>
      </c>
      <c r="M7" s="11">
        <v>27.0</v>
      </c>
      <c r="N7" s="11">
        <v>27.0</v>
      </c>
      <c r="O7" s="11">
        <v>27.0</v>
      </c>
      <c r="P7" s="11">
        <v>80.0</v>
      </c>
      <c r="Q7" s="11">
        <v>80.0</v>
      </c>
      <c r="R7" s="11">
        <v>80.0</v>
      </c>
      <c r="S7" s="11">
        <v>80.0</v>
      </c>
      <c r="T7" s="11">
        <v>80.0</v>
      </c>
      <c r="U7" s="11">
        <v>80.0</v>
      </c>
      <c r="V7" s="11">
        <v>80.0</v>
      </c>
      <c r="W7" s="11">
        <v>80.0</v>
      </c>
      <c r="X7" s="11">
        <v>80.0</v>
      </c>
      <c r="Y7" s="11">
        <v>80.0</v>
      </c>
      <c r="Z7" s="1"/>
    </row>
    <row r="8" hidden="1">
      <c r="A8" s="10" t="s">
        <v>25</v>
      </c>
      <c r="B8" s="14">
        <f>B9/B6</f>
        <v>1.425742574</v>
      </c>
      <c r="C8" s="14">
        <v>1.0</v>
      </c>
      <c r="D8" s="14">
        <v>1.0</v>
      </c>
      <c r="E8" s="14">
        <v>1.0</v>
      </c>
      <c r="F8" s="14">
        <v>1.0</v>
      </c>
      <c r="G8" s="14">
        <v>1.0</v>
      </c>
      <c r="H8" s="14">
        <v>1.0</v>
      </c>
      <c r="I8" s="14">
        <v>1.0</v>
      </c>
      <c r="J8" s="14">
        <v>1.0</v>
      </c>
      <c r="K8" s="14">
        <v>1.0</v>
      </c>
      <c r="L8" s="14">
        <v>1.0</v>
      </c>
      <c r="M8" s="14">
        <v>1.0</v>
      </c>
      <c r="N8" s="14">
        <v>1.0</v>
      </c>
      <c r="O8" s="14">
        <v>1.0</v>
      </c>
      <c r="P8" s="14">
        <v>1.0</v>
      </c>
      <c r="Q8" s="14">
        <v>1.0</v>
      </c>
      <c r="R8" s="14">
        <v>1.0</v>
      </c>
      <c r="S8" s="14">
        <v>1.0</v>
      </c>
      <c r="T8" s="14">
        <v>1.0</v>
      </c>
      <c r="U8" s="14">
        <v>1.0</v>
      </c>
      <c r="V8" s="14">
        <v>1.0</v>
      </c>
      <c r="W8" s="14">
        <v>1.0</v>
      </c>
      <c r="X8" s="14">
        <v>1.0</v>
      </c>
      <c r="Y8" s="14">
        <v>1.0</v>
      </c>
      <c r="Z8" s="1"/>
    </row>
    <row r="9" hidden="1">
      <c r="A9" s="13" t="s">
        <v>26</v>
      </c>
      <c r="B9" s="12">
        <v>1152.0</v>
      </c>
      <c r="C9" s="13">
        <f t="shared" ref="C9:Y9" si="3">ROUNDDOWN(C6*C8,0)</f>
        <v>3333</v>
      </c>
      <c r="D9" s="13">
        <f t="shared" si="3"/>
        <v>277</v>
      </c>
      <c r="E9" s="13">
        <f t="shared" si="3"/>
        <v>277</v>
      </c>
      <c r="F9" s="13">
        <f t="shared" si="3"/>
        <v>277</v>
      </c>
      <c r="G9" s="13">
        <f t="shared" si="3"/>
        <v>277</v>
      </c>
      <c r="H9" s="13">
        <f t="shared" si="3"/>
        <v>277</v>
      </c>
      <c r="I9" s="13">
        <f t="shared" si="3"/>
        <v>277</v>
      </c>
      <c r="J9" s="13">
        <f t="shared" si="3"/>
        <v>277</v>
      </c>
      <c r="K9" s="13">
        <f t="shared" si="3"/>
        <v>277</v>
      </c>
      <c r="L9" s="13">
        <f t="shared" si="3"/>
        <v>277</v>
      </c>
      <c r="M9" s="13">
        <f t="shared" si="3"/>
        <v>277</v>
      </c>
      <c r="N9" s="13">
        <f t="shared" si="3"/>
        <v>277</v>
      </c>
      <c r="O9" s="13">
        <f t="shared" si="3"/>
        <v>277</v>
      </c>
      <c r="P9" s="13">
        <f t="shared" si="3"/>
        <v>43</v>
      </c>
      <c r="Q9" s="13">
        <f t="shared" si="3"/>
        <v>43</v>
      </c>
      <c r="R9" s="13">
        <f t="shared" si="3"/>
        <v>43</v>
      </c>
      <c r="S9" s="13">
        <f t="shared" si="3"/>
        <v>43</v>
      </c>
      <c r="T9" s="13">
        <f t="shared" si="3"/>
        <v>43</v>
      </c>
      <c r="U9" s="13">
        <f t="shared" si="3"/>
        <v>43</v>
      </c>
      <c r="V9" s="13">
        <f t="shared" si="3"/>
        <v>43</v>
      </c>
      <c r="W9" s="13">
        <f t="shared" si="3"/>
        <v>43</v>
      </c>
      <c r="X9" s="13">
        <f t="shared" si="3"/>
        <v>43</v>
      </c>
      <c r="Y9" s="13">
        <f t="shared" si="3"/>
        <v>43</v>
      </c>
      <c r="Z9" s="1"/>
    </row>
    <row r="10" hidden="1">
      <c r="A10" s="10" t="s">
        <v>27</v>
      </c>
      <c r="B10" s="10">
        <f>B5/B9</f>
        <v>29.44038194</v>
      </c>
      <c r="C10" s="10">
        <v>222.91666666666666</v>
      </c>
      <c r="D10" s="10">
        <v>222.91666666666666</v>
      </c>
      <c r="E10" s="10">
        <v>222.91666666666666</v>
      </c>
      <c r="F10" s="10">
        <v>222.91666666666666</v>
      </c>
      <c r="G10" s="10">
        <v>222.91666666666666</v>
      </c>
      <c r="H10" s="10">
        <v>222.91666666666666</v>
      </c>
      <c r="I10" s="10">
        <v>222.91666666666666</v>
      </c>
      <c r="J10" s="10">
        <v>222.91666666666666</v>
      </c>
      <c r="K10" s="10">
        <v>222.91666666666666</v>
      </c>
      <c r="L10" s="10">
        <v>222.91666666666666</v>
      </c>
      <c r="M10" s="10">
        <v>222.91666666666666</v>
      </c>
      <c r="N10" s="10">
        <v>222.91666666666666</v>
      </c>
      <c r="O10" s="10">
        <v>222.91666666666666</v>
      </c>
      <c r="P10" s="10">
        <v>222.91666666666666</v>
      </c>
      <c r="Q10" s="10">
        <v>222.91666666666666</v>
      </c>
      <c r="R10" s="10">
        <v>222.91666666666666</v>
      </c>
      <c r="S10" s="10">
        <v>222.91666666666666</v>
      </c>
      <c r="T10" s="10">
        <v>222.91666666666666</v>
      </c>
      <c r="U10" s="10">
        <v>222.91666666666666</v>
      </c>
      <c r="V10" s="10">
        <v>222.91666666666666</v>
      </c>
      <c r="W10" s="10">
        <v>222.91666666666666</v>
      </c>
      <c r="X10" s="10">
        <v>222.91666666666666</v>
      </c>
      <c r="Y10" s="10">
        <v>222.91666666666666</v>
      </c>
      <c r="Z10" s="1"/>
    </row>
    <row r="11" hidden="1">
      <c r="A11" s="10" t="s">
        <v>28</v>
      </c>
      <c r="B11" s="14">
        <f>B12/B9</f>
        <v>1</v>
      </c>
      <c r="C11" s="15">
        <v>0.2</v>
      </c>
      <c r="D11" s="15">
        <v>0.17</v>
      </c>
      <c r="E11" s="15">
        <v>0.19</v>
      </c>
      <c r="F11" s="15">
        <v>0.21</v>
      </c>
      <c r="G11" s="15">
        <v>0.22</v>
      </c>
      <c r="H11" s="15">
        <v>0.23</v>
      </c>
      <c r="I11" s="15">
        <v>0.25</v>
      </c>
      <c r="J11" s="15">
        <v>0.25</v>
      </c>
      <c r="K11" s="15">
        <v>0.25</v>
      </c>
      <c r="L11" s="15">
        <v>0.25</v>
      </c>
      <c r="M11" s="15">
        <v>0.25</v>
      </c>
      <c r="N11" s="15">
        <v>0.25</v>
      </c>
      <c r="O11" s="15">
        <v>0.25</v>
      </c>
      <c r="P11" s="15">
        <v>0.25</v>
      </c>
      <c r="Q11" s="15">
        <v>0.25</v>
      </c>
      <c r="R11" s="15">
        <v>0.25</v>
      </c>
      <c r="S11" s="15">
        <v>0.25</v>
      </c>
      <c r="T11" s="15">
        <v>0.25</v>
      </c>
      <c r="U11" s="15">
        <v>0.25</v>
      </c>
      <c r="V11" s="15">
        <v>0.25</v>
      </c>
      <c r="W11" s="15">
        <v>0.25</v>
      </c>
      <c r="X11" s="15">
        <v>0.25</v>
      </c>
      <c r="Y11" s="15">
        <v>0.25</v>
      </c>
      <c r="Z11" s="1"/>
    </row>
    <row r="12" hidden="1">
      <c r="A12" s="16" t="s">
        <v>29</v>
      </c>
      <c r="B12" s="17">
        <v>1152.0</v>
      </c>
      <c r="C12" s="16">
        <f t="shared" ref="C12:Y12" si="4">ROUNDDOWN(C11*C9,0)</f>
        <v>666</v>
      </c>
      <c r="D12" s="16">
        <f t="shared" si="4"/>
        <v>47</v>
      </c>
      <c r="E12" s="16">
        <f t="shared" si="4"/>
        <v>52</v>
      </c>
      <c r="F12" s="16">
        <f t="shared" si="4"/>
        <v>58</v>
      </c>
      <c r="G12" s="16">
        <f t="shared" si="4"/>
        <v>60</v>
      </c>
      <c r="H12" s="16">
        <f t="shared" si="4"/>
        <v>63</v>
      </c>
      <c r="I12" s="16">
        <f t="shared" si="4"/>
        <v>69</v>
      </c>
      <c r="J12" s="16">
        <f t="shared" si="4"/>
        <v>69</v>
      </c>
      <c r="K12" s="16">
        <f t="shared" si="4"/>
        <v>69</v>
      </c>
      <c r="L12" s="16">
        <f t="shared" si="4"/>
        <v>69</v>
      </c>
      <c r="M12" s="16">
        <f t="shared" si="4"/>
        <v>69</v>
      </c>
      <c r="N12" s="16">
        <f t="shared" si="4"/>
        <v>69</v>
      </c>
      <c r="O12" s="16">
        <f t="shared" si="4"/>
        <v>69</v>
      </c>
      <c r="P12" s="16">
        <f t="shared" si="4"/>
        <v>10</v>
      </c>
      <c r="Q12" s="16">
        <f t="shared" si="4"/>
        <v>10</v>
      </c>
      <c r="R12" s="16">
        <f t="shared" si="4"/>
        <v>10</v>
      </c>
      <c r="S12" s="16">
        <f t="shared" si="4"/>
        <v>10</v>
      </c>
      <c r="T12" s="16">
        <f t="shared" si="4"/>
        <v>10</v>
      </c>
      <c r="U12" s="16">
        <f t="shared" si="4"/>
        <v>10</v>
      </c>
      <c r="V12" s="16">
        <f t="shared" si="4"/>
        <v>10</v>
      </c>
      <c r="W12" s="16">
        <f t="shared" si="4"/>
        <v>10</v>
      </c>
      <c r="X12" s="16">
        <f t="shared" si="4"/>
        <v>10</v>
      </c>
      <c r="Y12" s="16">
        <f t="shared" si="4"/>
        <v>10</v>
      </c>
      <c r="Z12" s="1"/>
    </row>
    <row r="13" hidden="1">
      <c r="A13" s="10" t="s">
        <v>30</v>
      </c>
      <c r="B13" s="10">
        <f>B5/B12</f>
        <v>29.44038194</v>
      </c>
      <c r="C13" s="10">
        <v>1528.5714285714287</v>
      </c>
      <c r="D13" s="10">
        <v>1528.5714285714287</v>
      </c>
      <c r="E13" s="10">
        <v>1528.5714285714287</v>
      </c>
      <c r="F13" s="10">
        <v>1528.5714285714287</v>
      </c>
      <c r="G13" s="10">
        <v>1528.5714285714287</v>
      </c>
      <c r="H13" s="10">
        <v>1528.5714285714287</v>
      </c>
      <c r="I13" s="10">
        <v>1528.5714285714287</v>
      </c>
      <c r="J13" s="10">
        <v>1528.5714285714287</v>
      </c>
      <c r="K13" s="10">
        <v>1528.5714285714287</v>
      </c>
      <c r="L13" s="10">
        <v>1528.5714285714287</v>
      </c>
      <c r="M13" s="10">
        <v>1528.5714285714287</v>
      </c>
      <c r="N13" s="10">
        <v>1528.5714285714287</v>
      </c>
      <c r="O13" s="10">
        <v>1528.5714285714287</v>
      </c>
      <c r="P13" s="10">
        <v>1528.5714285714287</v>
      </c>
      <c r="Q13" s="10">
        <v>1528.5714285714287</v>
      </c>
      <c r="R13" s="10">
        <v>1528.5714285714287</v>
      </c>
      <c r="S13" s="10">
        <v>1528.5714285714287</v>
      </c>
      <c r="T13" s="10">
        <v>1528.5714285714287</v>
      </c>
      <c r="U13" s="10">
        <v>1528.5714285714287</v>
      </c>
      <c r="V13" s="10">
        <v>1528.5714285714287</v>
      </c>
      <c r="W13" s="10">
        <v>1528.5714285714287</v>
      </c>
      <c r="X13" s="10">
        <v>1528.5714285714287</v>
      </c>
      <c r="Y13" s="10">
        <v>1528.5714285714287</v>
      </c>
      <c r="Z13" s="1"/>
    </row>
    <row r="14" hidden="1">
      <c r="A14" s="10" t="s">
        <v>31</v>
      </c>
      <c r="B14" s="18">
        <f>B15/B12</f>
        <v>0.06423611111</v>
      </c>
      <c r="C14" s="19">
        <v>0.25</v>
      </c>
      <c r="D14" s="19">
        <v>0.34</v>
      </c>
      <c r="E14" s="19">
        <v>0.34</v>
      </c>
      <c r="F14" s="19">
        <v>0.25</v>
      </c>
      <c r="G14" s="19">
        <v>0.25</v>
      </c>
      <c r="H14" s="19">
        <v>0.25</v>
      </c>
      <c r="I14" s="19">
        <v>0.25</v>
      </c>
      <c r="J14" s="19">
        <v>0.25</v>
      </c>
      <c r="K14" s="19">
        <v>0.25</v>
      </c>
      <c r="L14" s="19">
        <v>0.25</v>
      </c>
      <c r="M14" s="19">
        <v>0.25</v>
      </c>
      <c r="N14" s="19">
        <v>0.25</v>
      </c>
      <c r="O14" s="19">
        <v>0.25</v>
      </c>
      <c r="P14" s="19">
        <v>0.25</v>
      </c>
      <c r="Q14" s="19">
        <v>0.25</v>
      </c>
      <c r="R14" s="19">
        <v>0.25</v>
      </c>
      <c r="S14" s="19">
        <v>0.25</v>
      </c>
      <c r="T14" s="19">
        <v>0.25</v>
      </c>
      <c r="U14" s="19">
        <v>0.25</v>
      </c>
      <c r="V14" s="19">
        <v>0.25</v>
      </c>
      <c r="W14" s="19">
        <v>0.25</v>
      </c>
      <c r="X14" s="19">
        <v>0.25</v>
      </c>
      <c r="Y14" s="19">
        <v>0.25</v>
      </c>
      <c r="Z14" s="1"/>
    </row>
    <row r="15">
      <c r="A15" s="16" t="s">
        <v>32</v>
      </c>
      <c r="B15" s="17">
        <v>74.0</v>
      </c>
      <c r="C15" s="16">
        <f t="shared" ref="C15:O15" si="5">ROUNDDOWN(C17*C6,0)</f>
        <v>266</v>
      </c>
      <c r="D15" s="16">
        <f t="shared" si="5"/>
        <v>55</v>
      </c>
      <c r="E15" s="16">
        <f t="shared" si="5"/>
        <v>55</v>
      </c>
      <c r="F15" s="16">
        <f t="shared" si="5"/>
        <v>55</v>
      </c>
      <c r="G15" s="16">
        <f t="shared" si="5"/>
        <v>55</v>
      </c>
      <c r="H15" s="16">
        <f t="shared" si="5"/>
        <v>55</v>
      </c>
      <c r="I15" s="16">
        <f t="shared" si="5"/>
        <v>55</v>
      </c>
      <c r="J15" s="16">
        <f t="shared" si="5"/>
        <v>55</v>
      </c>
      <c r="K15" s="16">
        <f t="shared" si="5"/>
        <v>55</v>
      </c>
      <c r="L15" s="16">
        <f t="shared" si="5"/>
        <v>55</v>
      </c>
      <c r="M15" s="16">
        <f t="shared" si="5"/>
        <v>55</v>
      </c>
      <c r="N15" s="16">
        <f t="shared" si="5"/>
        <v>55</v>
      </c>
      <c r="O15" s="16">
        <f t="shared" si="5"/>
        <v>55</v>
      </c>
      <c r="P15" s="16">
        <f t="shared" ref="P15:Y15" si="6">ROUNDDOWN(P14*P12,0)</f>
        <v>2</v>
      </c>
      <c r="Q15" s="16">
        <f t="shared" si="6"/>
        <v>2</v>
      </c>
      <c r="R15" s="16">
        <f t="shared" si="6"/>
        <v>2</v>
      </c>
      <c r="S15" s="16">
        <f t="shared" si="6"/>
        <v>2</v>
      </c>
      <c r="T15" s="16">
        <f t="shared" si="6"/>
        <v>2</v>
      </c>
      <c r="U15" s="16">
        <f t="shared" si="6"/>
        <v>2</v>
      </c>
      <c r="V15" s="16">
        <f t="shared" si="6"/>
        <v>2</v>
      </c>
      <c r="W15" s="16">
        <f t="shared" si="6"/>
        <v>2</v>
      </c>
      <c r="X15" s="16">
        <f t="shared" si="6"/>
        <v>2</v>
      </c>
      <c r="Y15" s="16">
        <f t="shared" si="6"/>
        <v>2</v>
      </c>
      <c r="Z15" s="1"/>
    </row>
    <row r="16">
      <c r="A16" s="20" t="s">
        <v>33</v>
      </c>
      <c r="B16" s="10">
        <f t="shared" ref="B16:Y16" si="7">IFERROR(B5/B15,"0")</f>
        <v>458.3151351</v>
      </c>
      <c r="C16" s="10">
        <f t="shared" si="7"/>
        <v>338.3458647</v>
      </c>
      <c r="D16" s="10">
        <f t="shared" si="7"/>
        <v>136.3636364</v>
      </c>
      <c r="E16" s="10">
        <f t="shared" si="7"/>
        <v>136.3636364</v>
      </c>
      <c r="F16" s="10">
        <f t="shared" si="7"/>
        <v>136.3636364</v>
      </c>
      <c r="G16" s="10">
        <f t="shared" si="7"/>
        <v>136.3636364</v>
      </c>
      <c r="H16" s="10">
        <f t="shared" si="7"/>
        <v>136.3636364</v>
      </c>
      <c r="I16" s="10">
        <f t="shared" si="7"/>
        <v>136.3636364</v>
      </c>
      <c r="J16" s="10">
        <f t="shared" si="7"/>
        <v>136.3636364</v>
      </c>
      <c r="K16" s="10">
        <f t="shared" si="7"/>
        <v>136.3636364</v>
      </c>
      <c r="L16" s="10">
        <f t="shared" si="7"/>
        <v>136.3636364</v>
      </c>
      <c r="M16" s="10">
        <f t="shared" si="7"/>
        <v>136.3636364</v>
      </c>
      <c r="N16" s="10">
        <f t="shared" si="7"/>
        <v>136.3636364</v>
      </c>
      <c r="O16" s="10">
        <f t="shared" si="7"/>
        <v>136.3636364</v>
      </c>
      <c r="P16" s="10">
        <f t="shared" si="7"/>
        <v>1750</v>
      </c>
      <c r="Q16" s="10">
        <f t="shared" si="7"/>
        <v>1750</v>
      </c>
      <c r="R16" s="10">
        <f t="shared" si="7"/>
        <v>1750</v>
      </c>
      <c r="S16" s="10">
        <f t="shared" si="7"/>
        <v>1750</v>
      </c>
      <c r="T16" s="10">
        <f t="shared" si="7"/>
        <v>1750</v>
      </c>
      <c r="U16" s="10">
        <f t="shared" si="7"/>
        <v>1750</v>
      </c>
      <c r="V16" s="10">
        <f t="shared" si="7"/>
        <v>1750</v>
      </c>
      <c r="W16" s="10">
        <f t="shared" si="7"/>
        <v>1750</v>
      </c>
      <c r="X16" s="10">
        <f t="shared" si="7"/>
        <v>1750</v>
      </c>
      <c r="Y16" s="10">
        <f t="shared" si="7"/>
        <v>1750</v>
      </c>
      <c r="Z16" s="1"/>
    </row>
    <row r="17">
      <c r="A17" s="16" t="s">
        <v>34</v>
      </c>
      <c r="B17" s="21">
        <f>B14*B11*B8</f>
        <v>0.09158415842</v>
      </c>
      <c r="C17" s="22">
        <v>0.08</v>
      </c>
      <c r="D17" s="22">
        <v>0.2</v>
      </c>
      <c r="E17" s="22">
        <v>0.2</v>
      </c>
      <c r="F17" s="22">
        <v>0.2</v>
      </c>
      <c r="G17" s="22">
        <v>0.2</v>
      </c>
      <c r="H17" s="22">
        <v>0.2</v>
      </c>
      <c r="I17" s="22">
        <v>0.2</v>
      </c>
      <c r="J17" s="22">
        <v>0.2</v>
      </c>
      <c r="K17" s="22">
        <v>0.2</v>
      </c>
      <c r="L17" s="22">
        <v>0.2</v>
      </c>
      <c r="M17" s="22">
        <v>0.2</v>
      </c>
      <c r="N17" s="22">
        <v>0.2</v>
      </c>
      <c r="O17" s="22">
        <v>0.2</v>
      </c>
      <c r="P17" s="21">
        <f t="shared" ref="P17:Y17" si="8">P14*P11*P8</f>
        <v>0.0625</v>
      </c>
      <c r="Q17" s="21">
        <f t="shared" si="8"/>
        <v>0.0625</v>
      </c>
      <c r="R17" s="21">
        <f t="shared" si="8"/>
        <v>0.0625</v>
      </c>
      <c r="S17" s="21">
        <f t="shared" si="8"/>
        <v>0.0625</v>
      </c>
      <c r="T17" s="21">
        <f t="shared" si="8"/>
        <v>0.0625</v>
      </c>
      <c r="U17" s="21">
        <f t="shared" si="8"/>
        <v>0.0625</v>
      </c>
      <c r="V17" s="21">
        <f t="shared" si="8"/>
        <v>0.0625</v>
      </c>
      <c r="W17" s="21">
        <f t="shared" si="8"/>
        <v>0.0625</v>
      </c>
      <c r="X17" s="21">
        <f t="shared" si="8"/>
        <v>0.0625</v>
      </c>
      <c r="Y17" s="21">
        <f t="shared" si="8"/>
        <v>0.0625</v>
      </c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 t="s">
        <v>35</v>
      </c>
      <c r="B19" s="11">
        <v>260.0</v>
      </c>
      <c r="C19" s="11">
        <v>260.0</v>
      </c>
      <c r="D19" s="11">
        <v>260.0</v>
      </c>
      <c r="E19" s="11">
        <v>260.0</v>
      </c>
      <c r="F19" s="11">
        <v>260.0</v>
      </c>
      <c r="G19" s="11">
        <v>260.0</v>
      </c>
      <c r="H19" s="11">
        <v>260.0</v>
      </c>
      <c r="I19" s="11">
        <v>260.0</v>
      </c>
      <c r="J19" s="11">
        <v>260.0</v>
      </c>
      <c r="K19" s="11">
        <v>260.0</v>
      </c>
      <c r="L19" s="11">
        <v>260.0</v>
      </c>
      <c r="M19" s="11">
        <v>260.0</v>
      </c>
      <c r="N19" s="11">
        <v>260.0</v>
      </c>
      <c r="O19" s="11">
        <v>260.0</v>
      </c>
      <c r="P19" s="11">
        <v>30000.0</v>
      </c>
      <c r="Q19" s="11">
        <v>30000.0</v>
      </c>
      <c r="R19" s="11">
        <v>30000.0</v>
      </c>
      <c r="S19" s="11">
        <v>30000.0</v>
      </c>
      <c r="T19" s="11">
        <v>30000.0</v>
      </c>
      <c r="U19" s="11">
        <v>30000.0</v>
      </c>
      <c r="V19" s="11">
        <v>30000.0</v>
      </c>
      <c r="W19" s="11">
        <v>30000.0</v>
      </c>
      <c r="X19" s="11">
        <v>30000.0</v>
      </c>
      <c r="Y19" s="11">
        <v>30000.0</v>
      </c>
      <c r="Z19" s="1"/>
    </row>
    <row r="20">
      <c r="A20" s="23" t="s">
        <v>36</v>
      </c>
      <c r="B20" s="19">
        <v>0.6</v>
      </c>
      <c r="C20" s="19">
        <v>0.6</v>
      </c>
      <c r="D20" s="19">
        <v>0.6</v>
      </c>
      <c r="E20" s="19">
        <v>0.6</v>
      </c>
      <c r="F20" s="19">
        <v>0.6</v>
      </c>
      <c r="G20" s="19">
        <v>0.6</v>
      </c>
      <c r="H20" s="19">
        <v>0.6</v>
      </c>
      <c r="I20" s="19">
        <v>0.6</v>
      </c>
      <c r="J20" s="19">
        <v>0.6</v>
      </c>
      <c r="K20" s="19">
        <v>0.6</v>
      </c>
      <c r="L20" s="19">
        <v>0.6</v>
      </c>
      <c r="M20" s="19">
        <v>0.6</v>
      </c>
      <c r="N20" s="19">
        <v>0.6</v>
      </c>
      <c r="O20" s="19">
        <v>0.6</v>
      </c>
      <c r="P20" s="19">
        <v>0.5</v>
      </c>
      <c r="Q20" s="19">
        <v>0.5</v>
      </c>
      <c r="R20" s="19">
        <v>0.5</v>
      </c>
      <c r="S20" s="19">
        <v>0.5</v>
      </c>
      <c r="T20" s="19">
        <v>0.5</v>
      </c>
      <c r="U20" s="19">
        <v>0.5</v>
      </c>
      <c r="V20" s="19">
        <v>0.5</v>
      </c>
      <c r="W20" s="19">
        <v>0.5</v>
      </c>
      <c r="X20" s="19">
        <v>0.5</v>
      </c>
      <c r="Y20" s="19">
        <v>0.5</v>
      </c>
      <c r="Z20" s="1"/>
    </row>
    <row r="21">
      <c r="A21" s="8" t="s">
        <v>37</v>
      </c>
      <c r="B21" s="7">
        <v>25176.0</v>
      </c>
      <c r="C21" s="8">
        <f t="shared" ref="C21:Y21" si="9">C19*C15</f>
        <v>69160</v>
      </c>
      <c r="D21" s="8">
        <f t="shared" si="9"/>
        <v>14300</v>
      </c>
      <c r="E21" s="8">
        <f t="shared" si="9"/>
        <v>14300</v>
      </c>
      <c r="F21" s="8">
        <f t="shared" si="9"/>
        <v>14300</v>
      </c>
      <c r="G21" s="8">
        <f t="shared" si="9"/>
        <v>14300</v>
      </c>
      <c r="H21" s="8">
        <f t="shared" si="9"/>
        <v>14300</v>
      </c>
      <c r="I21" s="8">
        <f t="shared" si="9"/>
        <v>14300</v>
      </c>
      <c r="J21" s="8">
        <f t="shared" si="9"/>
        <v>14300</v>
      </c>
      <c r="K21" s="8">
        <f t="shared" si="9"/>
        <v>14300</v>
      </c>
      <c r="L21" s="8">
        <f t="shared" si="9"/>
        <v>14300</v>
      </c>
      <c r="M21" s="8">
        <f t="shared" si="9"/>
        <v>14300</v>
      </c>
      <c r="N21" s="8">
        <f t="shared" si="9"/>
        <v>14300</v>
      </c>
      <c r="O21" s="8">
        <f t="shared" si="9"/>
        <v>14300</v>
      </c>
      <c r="P21" s="8">
        <f t="shared" si="9"/>
        <v>60000</v>
      </c>
      <c r="Q21" s="8">
        <f t="shared" si="9"/>
        <v>60000</v>
      </c>
      <c r="R21" s="8">
        <f t="shared" si="9"/>
        <v>60000</v>
      </c>
      <c r="S21" s="8">
        <f t="shared" si="9"/>
        <v>60000</v>
      </c>
      <c r="T21" s="8">
        <f t="shared" si="9"/>
        <v>60000</v>
      </c>
      <c r="U21" s="8">
        <f t="shared" si="9"/>
        <v>60000</v>
      </c>
      <c r="V21" s="8">
        <f t="shared" si="9"/>
        <v>60000</v>
      </c>
      <c r="W21" s="8">
        <f t="shared" si="9"/>
        <v>60000</v>
      </c>
      <c r="X21" s="8">
        <f t="shared" si="9"/>
        <v>60000</v>
      </c>
      <c r="Y21" s="8">
        <f t="shared" si="9"/>
        <v>60000</v>
      </c>
      <c r="Z21" s="1"/>
    </row>
    <row r="22">
      <c r="A22" s="8" t="s">
        <v>38</v>
      </c>
      <c r="B22" s="7">
        <v>25176.0</v>
      </c>
      <c r="C22" s="8">
        <f>C21*12</f>
        <v>829920</v>
      </c>
      <c r="D22" s="8">
        <f>D21*1</f>
        <v>14300</v>
      </c>
      <c r="E22" s="8">
        <f>E21*2</f>
        <v>28600</v>
      </c>
      <c r="F22" s="8">
        <f>F21*3</f>
        <v>42900</v>
      </c>
      <c r="G22" s="8">
        <f>G21*4</f>
        <v>57200</v>
      </c>
      <c r="H22" s="8">
        <f>H21*5</f>
        <v>71500</v>
      </c>
      <c r="I22" s="8">
        <f>I21*6</f>
        <v>85800</v>
      </c>
      <c r="J22" s="8">
        <f>J21*7</f>
        <v>100100</v>
      </c>
      <c r="K22" s="8">
        <f>K21*8</f>
        <v>114400</v>
      </c>
      <c r="L22" s="8">
        <f t="shared" ref="L22:O22" si="10">L21*9</f>
        <v>128700</v>
      </c>
      <c r="M22" s="8">
        <f t="shared" si="10"/>
        <v>128700</v>
      </c>
      <c r="N22" s="8">
        <f t="shared" si="10"/>
        <v>128700</v>
      </c>
      <c r="O22" s="8">
        <f t="shared" si="10"/>
        <v>128700</v>
      </c>
      <c r="P22" s="8">
        <f t="shared" ref="P22:Y22" si="11">O22+P21</f>
        <v>188700</v>
      </c>
      <c r="Q22" s="8">
        <f t="shared" si="11"/>
        <v>248700</v>
      </c>
      <c r="R22" s="8">
        <f t="shared" si="11"/>
        <v>308700</v>
      </c>
      <c r="S22" s="8">
        <f t="shared" si="11"/>
        <v>368700</v>
      </c>
      <c r="T22" s="8">
        <f t="shared" si="11"/>
        <v>428700</v>
      </c>
      <c r="U22" s="8">
        <f t="shared" si="11"/>
        <v>488700</v>
      </c>
      <c r="V22" s="8">
        <f t="shared" si="11"/>
        <v>548700</v>
      </c>
      <c r="W22" s="8">
        <f t="shared" si="11"/>
        <v>608700</v>
      </c>
      <c r="X22" s="8">
        <f t="shared" si="11"/>
        <v>668700</v>
      </c>
      <c r="Y22" s="8">
        <f t="shared" si="11"/>
        <v>728700</v>
      </c>
      <c r="Z22" s="1"/>
    </row>
    <row r="23">
      <c r="A23" s="8" t="s">
        <v>39</v>
      </c>
      <c r="B23" s="8">
        <f t="shared" ref="B23:Y23" si="12">B21*B20</f>
        <v>15105.6</v>
      </c>
      <c r="C23" s="8">
        <f t="shared" si="12"/>
        <v>41496</v>
      </c>
      <c r="D23" s="8">
        <f t="shared" si="12"/>
        <v>8580</v>
      </c>
      <c r="E23" s="8">
        <f t="shared" si="12"/>
        <v>8580</v>
      </c>
      <c r="F23" s="8">
        <f t="shared" si="12"/>
        <v>8580</v>
      </c>
      <c r="G23" s="8">
        <f t="shared" si="12"/>
        <v>8580</v>
      </c>
      <c r="H23" s="8">
        <f t="shared" si="12"/>
        <v>8580</v>
      </c>
      <c r="I23" s="8">
        <f t="shared" si="12"/>
        <v>8580</v>
      </c>
      <c r="J23" s="8">
        <f t="shared" si="12"/>
        <v>8580</v>
      </c>
      <c r="K23" s="8">
        <f t="shared" si="12"/>
        <v>8580</v>
      </c>
      <c r="L23" s="8">
        <f t="shared" si="12"/>
        <v>8580</v>
      </c>
      <c r="M23" s="8">
        <f t="shared" si="12"/>
        <v>8580</v>
      </c>
      <c r="N23" s="8">
        <f t="shared" si="12"/>
        <v>8580</v>
      </c>
      <c r="O23" s="8">
        <f t="shared" si="12"/>
        <v>8580</v>
      </c>
      <c r="P23" s="8">
        <f t="shared" si="12"/>
        <v>30000</v>
      </c>
      <c r="Q23" s="8">
        <f t="shared" si="12"/>
        <v>30000</v>
      </c>
      <c r="R23" s="8">
        <f t="shared" si="12"/>
        <v>30000</v>
      </c>
      <c r="S23" s="8">
        <f t="shared" si="12"/>
        <v>30000</v>
      </c>
      <c r="T23" s="8">
        <f t="shared" si="12"/>
        <v>30000</v>
      </c>
      <c r="U23" s="8">
        <f t="shared" si="12"/>
        <v>30000</v>
      </c>
      <c r="V23" s="8">
        <f t="shared" si="12"/>
        <v>30000</v>
      </c>
      <c r="W23" s="8">
        <f t="shared" si="12"/>
        <v>30000</v>
      </c>
      <c r="X23" s="8">
        <f t="shared" si="12"/>
        <v>30000</v>
      </c>
      <c r="Y23" s="8">
        <f t="shared" si="12"/>
        <v>30000</v>
      </c>
      <c r="Z23" s="1"/>
    </row>
    <row r="24">
      <c r="A24" s="8" t="s">
        <v>40</v>
      </c>
      <c r="B24" s="8"/>
      <c r="C24" s="8">
        <f t="shared" ref="C24:Y24" si="13">C20*C22</f>
        <v>497952</v>
      </c>
      <c r="D24" s="8">
        <f t="shared" si="13"/>
        <v>8580</v>
      </c>
      <c r="E24" s="8">
        <f t="shared" si="13"/>
        <v>17160</v>
      </c>
      <c r="F24" s="8">
        <f t="shared" si="13"/>
        <v>25740</v>
      </c>
      <c r="G24" s="8">
        <f t="shared" si="13"/>
        <v>34320</v>
      </c>
      <c r="H24" s="8">
        <f t="shared" si="13"/>
        <v>42900</v>
      </c>
      <c r="I24" s="8">
        <f t="shared" si="13"/>
        <v>51480</v>
      </c>
      <c r="J24" s="8">
        <f t="shared" si="13"/>
        <v>60060</v>
      </c>
      <c r="K24" s="8">
        <f t="shared" si="13"/>
        <v>68640</v>
      </c>
      <c r="L24" s="8">
        <f t="shared" si="13"/>
        <v>77220</v>
      </c>
      <c r="M24" s="8">
        <f t="shared" si="13"/>
        <v>77220</v>
      </c>
      <c r="N24" s="8">
        <f t="shared" si="13"/>
        <v>77220</v>
      </c>
      <c r="O24" s="8">
        <f t="shared" si="13"/>
        <v>77220</v>
      </c>
      <c r="P24" s="8">
        <f t="shared" si="13"/>
        <v>94350</v>
      </c>
      <c r="Q24" s="8">
        <f t="shared" si="13"/>
        <v>124350</v>
      </c>
      <c r="R24" s="8">
        <f t="shared" si="13"/>
        <v>154350</v>
      </c>
      <c r="S24" s="8">
        <f t="shared" si="13"/>
        <v>184350</v>
      </c>
      <c r="T24" s="8">
        <f t="shared" si="13"/>
        <v>214350</v>
      </c>
      <c r="U24" s="8">
        <f t="shared" si="13"/>
        <v>244350</v>
      </c>
      <c r="V24" s="8">
        <f t="shared" si="13"/>
        <v>274350</v>
      </c>
      <c r="W24" s="8">
        <f t="shared" si="13"/>
        <v>304350</v>
      </c>
      <c r="X24" s="8">
        <f t="shared" si="13"/>
        <v>334350</v>
      </c>
      <c r="Y24" s="8">
        <f t="shared" si="13"/>
        <v>364350</v>
      </c>
      <c r="Z24" s="1"/>
    </row>
    <row r="25">
      <c r="A25" s="1"/>
      <c r="B25" s="8">
        <f>B20*B22</f>
        <v>15105.6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8" t="s">
        <v>41</v>
      </c>
      <c r="B26" s="8">
        <f t="shared" ref="B26:Y26" si="14">B4+B5</f>
        <v>63915.32</v>
      </c>
      <c r="C26" s="8">
        <f t="shared" si="14"/>
        <v>150000</v>
      </c>
      <c r="D26" s="8">
        <f t="shared" si="14"/>
        <v>12500</v>
      </c>
      <c r="E26" s="8">
        <f t="shared" si="14"/>
        <v>12500</v>
      </c>
      <c r="F26" s="8">
        <f t="shared" si="14"/>
        <v>12500</v>
      </c>
      <c r="G26" s="8">
        <f t="shared" si="14"/>
        <v>12500</v>
      </c>
      <c r="H26" s="8">
        <f t="shared" si="14"/>
        <v>12500</v>
      </c>
      <c r="I26" s="8">
        <f t="shared" si="14"/>
        <v>12500</v>
      </c>
      <c r="J26" s="8">
        <f t="shared" si="14"/>
        <v>12500</v>
      </c>
      <c r="K26" s="8">
        <f t="shared" si="14"/>
        <v>12500</v>
      </c>
      <c r="L26" s="8">
        <f t="shared" si="14"/>
        <v>12500</v>
      </c>
      <c r="M26" s="8">
        <f t="shared" si="14"/>
        <v>12500</v>
      </c>
      <c r="N26" s="8">
        <f t="shared" si="14"/>
        <v>12500</v>
      </c>
      <c r="O26" s="8">
        <f t="shared" si="14"/>
        <v>12500</v>
      </c>
      <c r="P26" s="8">
        <f t="shared" si="14"/>
        <v>11000</v>
      </c>
      <c r="Q26" s="8">
        <f t="shared" si="14"/>
        <v>11000</v>
      </c>
      <c r="R26" s="8">
        <f t="shared" si="14"/>
        <v>11000</v>
      </c>
      <c r="S26" s="8">
        <f t="shared" si="14"/>
        <v>11000</v>
      </c>
      <c r="T26" s="8">
        <f t="shared" si="14"/>
        <v>11000</v>
      </c>
      <c r="U26" s="8">
        <f t="shared" si="14"/>
        <v>11000</v>
      </c>
      <c r="V26" s="8">
        <f t="shared" si="14"/>
        <v>11000</v>
      </c>
      <c r="W26" s="8">
        <f t="shared" si="14"/>
        <v>11000</v>
      </c>
      <c r="X26" s="8">
        <f t="shared" si="14"/>
        <v>11000</v>
      </c>
      <c r="Y26" s="8">
        <f t="shared" si="14"/>
        <v>11000</v>
      </c>
      <c r="Z26" s="1"/>
    </row>
    <row r="27">
      <c r="A27" s="7" t="s">
        <v>43</v>
      </c>
      <c r="B27" s="70">
        <f>B25-B26</f>
        <v>-48809.72</v>
      </c>
      <c r="C27" s="8">
        <f>C24-C26</f>
        <v>347952</v>
      </c>
      <c r="D27" s="70">
        <f>B27+(D21-D26)</f>
        <v>-47009.72</v>
      </c>
      <c r="E27" s="70">
        <f t="shared" ref="E27:O27" si="15">D27+(E22-12500)</f>
        <v>-30909.72</v>
      </c>
      <c r="F27" s="70">
        <f t="shared" si="15"/>
        <v>-509.72</v>
      </c>
      <c r="G27" s="70">
        <f t="shared" si="15"/>
        <v>44190.28</v>
      </c>
      <c r="H27" s="70">
        <f t="shared" si="15"/>
        <v>103190.28</v>
      </c>
      <c r="I27" s="70">
        <f t="shared" si="15"/>
        <v>176490.28</v>
      </c>
      <c r="J27" s="70">
        <f t="shared" si="15"/>
        <v>264090.28</v>
      </c>
      <c r="K27" s="70">
        <f t="shared" si="15"/>
        <v>365990.28</v>
      </c>
      <c r="L27" s="70">
        <f t="shared" si="15"/>
        <v>482190.28</v>
      </c>
      <c r="M27" s="70">
        <f t="shared" si="15"/>
        <v>598390.28</v>
      </c>
      <c r="N27" s="70">
        <f t="shared" si="15"/>
        <v>714590.28</v>
      </c>
      <c r="O27" s="70">
        <f t="shared" si="15"/>
        <v>830790.28</v>
      </c>
      <c r="P27" s="8" t="str">
        <f t="shared" ref="P27:Y27" si="16">P24-P26-#REF!</f>
        <v>#REF!</v>
      </c>
      <c r="Q27" s="8" t="str">
        <f t="shared" si="16"/>
        <v>#REF!</v>
      </c>
      <c r="R27" s="8" t="str">
        <f t="shared" si="16"/>
        <v>#REF!</v>
      </c>
      <c r="S27" s="8" t="str">
        <f t="shared" si="16"/>
        <v>#REF!</v>
      </c>
      <c r="T27" s="8" t="str">
        <f t="shared" si="16"/>
        <v>#REF!</v>
      </c>
      <c r="U27" s="8" t="str">
        <f t="shared" si="16"/>
        <v>#REF!</v>
      </c>
      <c r="V27" s="8" t="str">
        <f t="shared" si="16"/>
        <v>#REF!</v>
      </c>
      <c r="W27" s="8" t="str">
        <f t="shared" si="16"/>
        <v>#REF!</v>
      </c>
      <c r="X27" s="8" t="str">
        <f t="shared" si="16"/>
        <v>#REF!</v>
      </c>
      <c r="Y27" s="8" t="str">
        <f t="shared" si="16"/>
        <v>#REF!</v>
      </c>
      <c r="Z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5"/>
    </row>
    <row r="29">
      <c r="A29" s="24"/>
      <c r="B29" s="26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5"/>
    </row>
    <row r="30" ht="49.5" customHeight="1">
      <c r="A30" s="24"/>
      <c r="B30" s="26"/>
      <c r="C30" s="24"/>
      <c r="D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5"/>
    </row>
    <row r="31" ht="15.75" customHeight="1">
      <c r="A31" s="24"/>
      <c r="B31" s="24"/>
      <c r="C31" s="24"/>
      <c r="D31" s="24"/>
      <c r="G31" s="27"/>
      <c r="H31" s="27"/>
      <c r="I31" s="27"/>
      <c r="J31" s="27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5"/>
    </row>
    <row r="32">
      <c r="A32" s="24"/>
      <c r="B32" s="24"/>
      <c r="C32" s="24"/>
      <c r="D32" s="24"/>
      <c r="E32" s="24"/>
      <c r="F32" s="27"/>
      <c r="G32" s="28"/>
      <c r="H32" s="28"/>
      <c r="I32" s="28"/>
      <c r="J32" s="2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5"/>
    </row>
    <row r="33">
      <c r="A33" s="24"/>
      <c r="B33" s="24"/>
      <c r="C33" s="24"/>
      <c r="D33" s="24"/>
      <c r="E33" s="24"/>
      <c r="F33" s="27"/>
      <c r="G33" s="28"/>
      <c r="H33" s="28"/>
      <c r="I33" s="28"/>
      <c r="J33" s="2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5"/>
    </row>
    <row r="34">
      <c r="A34" s="24"/>
      <c r="B34" s="24"/>
      <c r="C34" s="24"/>
      <c r="D34" s="24"/>
      <c r="E34" s="24"/>
      <c r="F34" s="27"/>
      <c r="G34" s="27"/>
      <c r="H34" s="27"/>
      <c r="I34" s="27"/>
      <c r="J34" s="27"/>
      <c r="K34" s="27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5"/>
    </row>
    <row r="35">
      <c r="A35" s="24"/>
      <c r="B35" s="24"/>
      <c r="C35" s="24"/>
      <c r="D35" s="24"/>
      <c r="E35" s="24"/>
      <c r="F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5"/>
    </row>
  </sheetData>
  <drawing r:id="rId1"/>
</worksheet>
</file>