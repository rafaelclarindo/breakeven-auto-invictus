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8" activeTab="7"/>
  </bookViews>
  <sheets>
    <sheet name="Resumo Executivo" sheetId="1" r:id="rId1"/>
    <sheet name="Breakeven 7M" sheetId="2" r:id="rId2"/>
    <sheet name="Pessimista" sheetId="3" r:id="rId3"/>
    <sheet name="Realista" sheetId="4" r:id="rId4"/>
    <sheet name="Otimista" sheetId="5" r:id="rId5"/>
    <sheet name="Funil Completo" sheetId="6" r:id="rId6"/>
    <sheet name="Premissas" sheetId="7" r:id="rId7"/>
    <sheet name="Dados Fonte" sheetId="8" r:id="rId8"/>
  </sheets>
  <calcPr calcId="124519" fullCalcOnLoad="1"/>
</workbook>
</file>

<file path=xl/sharedStrings.xml><?xml version="1.0" encoding="utf-8"?>
<sst xmlns="http://schemas.openxmlformats.org/spreadsheetml/2006/main" count="457" uniqueCount="208">
  <si>
    <t>Dados Fonte — Dalpack</t>
  </si>
  <si>
    <t>Mês</t>
  </si>
  <si>
    <t>Fee V4</t>
  </si>
  <si>
    <t>Investimento</t>
  </si>
  <si>
    <t>Sessões</t>
  </si>
  <si>
    <t>Pedidos</t>
  </si>
  <si>
    <t>Vendas</t>
  </si>
  <si>
    <t>Faturamento</t>
  </si>
  <si>
    <t>Período válido</t>
  </si>
  <si>
    <t>Nov/25</t>
  </si>
  <si>
    <t>Sim — mês com fee</t>
  </si>
  <si>
    <t>Dez/25</t>
  </si>
  <si>
    <t>Jan/26</t>
  </si>
  <si>
    <t>Fev/26</t>
  </si>
  <si>
    <t>Mar/26</t>
  </si>
  <si>
    <t>Abr/26</t>
  </si>
  <si>
    <t>Mai/26</t>
  </si>
  <si>
    <t>Jun/26</t>
  </si>
  <si>
    <t>TOTAL</t>
  </si>
  <si>
    <t>Somente meses com Fee V4</t>
  </si>
  <si>
    <t>Funil atual — Maio/2026 fechado</t>
  </si>
  <si>
    <t>Etapa</t>
  </si>
  <si>
    <t>Volume</t>
  </si>
  <si>
    <t>Taxa atual</t>
  </si>
  <si>
    <t>Bench interno</t>
  </si>
  <si>
    <t>Status</t>
  </si>
  <si>
    <t>Fonte</t>
  </si>
  <si>
    <t>-</t>
  </si>
  <si>
    <t>Base</t>
  </si>
  <si>
    <t>GA4 / Growth Pack</t>
  </si>
  <si>
    <t>Page view</t>
  </si>
  <si>
    <t>Múltiplas páginas por sessão</t>
  </si>
  <si>
    <t>View item</t>
  </si>
  <si>
    <t>Mediana de 8 meses</t>
  </si>
  <si>
    <t>Add to cart</t>
  </si>
  <si>
    <t>View cart</t>
  </si>
  <si>
    <t>Contagem atual não sequencial</t>
  </si>
  <si>
    <t>Begin checkout</t>
  </si>
  <si>
    <t>Add shipping info</t>
  </si>
  <si>
    <t>Possível duplicidade atual</t>
  </si>
  <si>
    <t>Add payment info</t>
  </si>
  <si>
    <t>Purchase</t>
  </si>
  <si>
    <t>Sessão → Purchase</t>
  </si>
  <si>
    <t>Bench: mediana 8M</t>
  </si>
  <si>
    <t>Nov/2025 a Jun/2026</t>
  </si>
  <si>
    <t>Fonte: Growth Pack Dalpack. O cenário financeiro usa Fee V4 da linha 6, investimento da linha 9 e faturamento da linha 28, apenas nos meses em que há fee preenchido.</t>
  </si>
  <si>
    <t>Base mensal do bench — volumes de eventos</t>
  </si>
  <si>
    <t>Add shipping</t>
  </si>
  <si>
    <t>Add payment</t>
  </si>
  <si>
    <t>Bench interno — taxas mensais e mediana dos 8 meses</t>
  </si>
  <si>
    <t>Sessão → View item</t>
  </si>
  <si>
    <t>View item → Add cart</t>
  </si>
  <si>
    <t>Add cart → View cart</t>
  </si>
  <si>
    <t>View cart → Checkout</t>
  </si>
  <si>
    <t>Checkout → Shipping</t>
  </si>
  <si>
    <t>Shipping → Payment</t>
  </si>
  <si>
    <t>Payment → Purchase</t>
  </si>
  <si>
    <t>MEDIANA 8M</t>
  </si>
  <si>
    <t>Metodologia: para cada etapa, as oito taxas mensais são ordenadas e a mediana corresponde à média entre o quarto e o quinto valor. Taxas mensais acima de 100% são limitadas a 100% antes do cálculo. A conversão final Sessão → Purchase é calculada diretamente por mês e não pela multiplicação das medianas das etapas.</t>
  </si>
  <si>
    <t>Premissas — Breakeven E-commerce Dalpack</t>
  </si>
  <si>
    <t>Cenário atual</t>
  </si>
  <si>
    <t>Cliente</t>
  </si>
  <si>
    <t>Dalpack</t>
  </si>
  <si>
    <t>Editável</t>
  </si>
  <si>
    <t>Período atual</t>
  </si>
  <si>
    <t>Meses com Fee V4</t>
  </si>
  <si>
    <t>Meses com fee</t>
  </si>
  <si>
    <t>Calculado a partir dos dados fonte</t>
  </si>
  <si>
    <t>Fee acumulado</t>
  </si>
  <si>
    <t>Linha 6</t>
  </si>
  <si>
    <t>Investimento acumulado</t>
  </si>
  <si>
    <t>Linha 9</t>
  </si>
  <si>
    <t>Custo acumulado</t>
  </si>
  <si>
    <t>Fee + investimento</t>
  </si>
  <si>
    <t>Faturamento acumulado</t>
  </si>
  <si>
    <t>Linha 28</t>
  </si>
  <si>
    <t>Sessões acumuladas</t>
  </si>
  <si>
    <t>Pedidos acumulados</t>
  </si>
  <si>
    <t>Vendas acumuladas</t>
  </si>
  <si>
    <t>Ticket médio</t>
  </si>
  <si>
    <t>Faturamento ÷ vendas</t>
  </si>
  <si>
    <t>Margem de contribuição</t>
  </si>
  <si>
    <t>Premissa editável</t>
  </si>
  <si>
    <t>Resultado MC</t>
  </si>
  <si>
    <t>Faturamento × margem</t>
  </si>
  <si>
    <t>Resultado líquido</t>
  </si>
  <si>
    <t>MC - custo</t>
  </si>
  <si>
    <t>Premissas futuras — células amarelas são editáveis</t>
  </si>
  <si>
    <t>Fee mensal</t>
  </si>
  <si>
    <t>Mídia mensal</t>
  </si>
  <si>
    <t>Meses para recuperar</t>
  </si>
  <si>
    <t>Margem</t>
  </si>
  <si>
    <t>Breakeven mensal</t>
  </si>
  <si>
    <t>Custo futuro</t>
  </si>
  <si>
    <t>Receita futura necessária</t>
  </si>
  <si>
    <t>Curva mensal editável</t>
  </si>
  <si>
    <t>Premissa</t>
  </si>
  <si>
    <t>Mês 1</t>
  </si>
  <si>
    <t>Mês 2</t>
  </si>
  <si>
    <t>Mês 3</t>
  </si>
  <si>
    <t>Mês 4</t>
  </si>
  <si>
    <t>Mês 5</t>
  </si>
  <si>
    <t>Mês 6</t>
  </si>
  <si>
    <t>Mês 7</t>
  </si>
  <si>
    <t>Faturamento alvo</t>
  </si>
  <si>
    <t>View item / sessão</t>
  </si>
  <si>
    <t>Add to cart / view item</t>
  </si>
  <si>
    <t>Purchase / add to cart</t>
  </si>
  <si>
    <t>Aprovação pedido → venda</t>
  </si>
  <si>
    <t>Como usar: altere somente as células amarelas. A projeção, o saldo acumulado, os volumes do funil e os indicadores são recalculados automaticamente. O Mês 7 equilibra o faturamento necessário para zerar o projeto no prazo definido.</t>
  </si>
  <si>
    <t>Projeção Breakeven — Dalpack</t>
  </si>
  <si>
    <t>Feito até o momento</t>
  </si>
  <si>
    <t>Cenário mínimo 7M</t>
  </si>
  <si>
    <t>Custos Fixos V4 + Mídia</t>
  </si>
  <si>
    <t>Fee Mensal</t>
  </si>
  <si>
    <t>Verba de mídia</t>
  </si>
  <si>
    <t>Sessões por mês</t>
  </si>
  <si>
    <t>Custo por Sessão</t>
  </si>
  <si>
    <t>Taxa de Conversão Sessão → Pedidos</t>
  </si>
  <si>
    <t>Pedidos por mês</t>
  </si>
  <si>
    <t>Custo por Pedido</t>
  </si>
  <si>
    <t>Taxa de Conversão Pedidos → Venda</t>
  </si>
  <si>
    <t>Vendas por mês</t>
  </si>
  <si>
    <t>Custo por Venda</t>
  </si>
  <si>
    <t>Taxa de Conversão do Funil</t>
  </si>
  <si>
    <t>Margem Contribuição (MC)</t>
  </si>
  <si>
    <t>Valor de Venda no mês</t>
  </si>
  <si>
    <t>Valor Acumulado</t>
  </si>
  <si>
    <t>ROAS no mês</t>
  </si>
  <si>
    <t>Resultado MC/mês</t>
  </si>
  <si>
    <t>Resultado MC Acumulado</t>
  </si>
  <si>
    <t>Custo V4 + mídia/mês</t>
  </si>
  <si>
    <t>Custo V4 + mídia acumulado</t>
  </si>
  <si>
    <t>Resultado líquido Mês</t>
  </si>
  <si>
    <t>Resultado líquido Acumulado</t>
  </si>
  <si>
    <t>ROI no mês</t>
  </si>
  <si>
    <t>ROI Projeto</t>
  </si>
  <si>
    <t>Status do breakeven</t>
  </si>
  <si>
    <t>Funil completo do cenário mínimo</t>
  </si>
  <si>
    <t>Taxa Sessão → View item</t>
  </si>
  <si>
    <t>Taxa View item → Add to cart</t>
  </si>
  <si>
    <t>Taxa Add to cart → View cart</t>
  </si>
  <si>
    <t>Taxa View cart → Begin checkout</t>
  </si>
  <si>
    <t>Taxa Begin checkout → Add shipping info</t>
  </si>
  <si>
    <t>Taxa Add shipping info → Add payment info</t>
  </si>
  <si>
    <t>Taxa Add payment info → Pedido</t>
  </si>
  <si>
    <t>Taxa Pedido → Venda</t>
  </si>
  <si>
    <t>Taxa final Sessão → Venda</t>
  </si>
  <si>
    <t>Custo por sessão</t>
  </si>
  <si>
    <t>Custo por pedido</t>
  </si>
  <si>
    <t>Custo por venda</t>
  </si>
  <si>
    <t>As taxas amarelas são premissas editáveis. Os volumes são calculados de trás para frente e alimentam diretamente a leitura financeira do breakeven.</t>
  </si>
  <si>
    <t>Breakeven Pessimista — Dalpack</t>
  </si>
  <si>
    <t>Atual acumulado /
funil maio</t>
  </si>
  <si>
    <t>Breakeven da
competência</t>
  </si>
  <si>
    <t>Total projetado</t>
  </si>
  <si>
    <t>Investimento de mídia</t>
  </si>
  <si>
    <t>Custo total</t>
  </si>
  <si>
    <t>Resultado líquido do mês</t>
  </si>
  <si>
    <t>Resultado líquido acumulado</t>
  </si>
  <si>
    <t>ROAS</t>
  </si>
  <si>
    <t>Déficit a recuperar</t>
  </si>
  <si>
    <t>ZERA A COMPETÊNCIA</t>
  </si>
  <si>
    <t>Funil completo mês a mês</t>
  </si>
  <si>
    <t>Receita recalculada</t>
  </si>
  <si>
    <t>Diferença vs. faturamento alvo</t>
  </si>
  <si>
    <t>A coluna Breakeven da competência mostra o funil necessário para pagar Fee + mídia do mês, sem recuperar o carry over. Células amarelas são premissas do cenário; os volumes são calculados de trás para frente.</t>
  </si>
  <si>
    <t>Breakeven Realista — Dalpack</t>
  </si>
  <si>
    <t>Breakeven Otimista — Dalpack</t>
  </si>
  <si>
    <t>Funil Completo — Atual, Bench Mediana 8M e Projeção Gerencial</t>
  </si>
  <si>
    <t>Volume atual</t>
  </si>
  <si>
    <t>Validação</t>
  </si>
  <si>
    <t>Bench: mediana dos 8 meses de LT</t>
  </si>
  <si>
    <t>Atenção: View cart e Add shipping info apresentam contagem não sequencial no GA4. O bench usa a mediana mensal dos oito meses de LT, com taxas acima de 100% limitadas a 100%. A conversão final de 1,84% foi calculada diretamente por mês e não pela multiplicação das medianas das etapas.</t>
  </si>
  <si>
    <t>Funil gerencial projetado — volumes necessários</t>
  </si>
  <si>
    <t>Page views</t>
  </si>
  <si>
    <t>Conversão final</t>
  </si>
  <si>
    <t>CPS necessário</t>
  </si>
  <si>
    <t>Custo por compra</t>
  </si>
  <si>
    <t>Taxas usadas na projeção</t>
  </si>
  <si>
    <t>View item → Add to cart</t>
  </si>
  <si>
    <t>Add to cart → Purchase</t>
  </si>
  <si>
    <t>O funil gerencial preserva as etapas confiáveis do tracking. As etapas detalhadas permanecem no bloco da esquerda para orientar a auditoria técnica do GTM/GA4.</t>
  </si>
  <si>
    <t>Breakeven E-commerce — Dalpack</t>
  </si>
  <si>
    <t>Resultado atual</t>
  </si>
  <si>
    <t>Receita necessária em 7 meses</t>
  </si>
  <si>
    <t>Cenário atual x cenário mínimo</t>
  </si>
  <si>
    <t>Indicador</t>
  </si>
  <si>
    <t>Atual</t>
  </si>
  <si>
    <t>Mínimo 7M</t>
  </si>
  <si>
    <t>Leitura</t>
  </si>
  <si>
    <t>Recupera déficit + custos futuros</t>
  </si>
  <si>
    <t>Melhora gradual do funil</t>
  </si>
  <si>
    <t>Crescimento leve de 1% ao mês</t>
  </si>
  <si>
    <t>Exige eficiência e tráfego não pago</t>
  </si>
  <si>
    <t>Projeto zerado no fim do Mês 7</t>
  </si>
  <si>
    <t>Evolução financeira</t>
  </si>
  <si>
    <t>Leitura estratégica
O cenário mínimo não depende apenas de mídia. Com verba mensal de R$ 5 mil, o projeto precisa combinar melhora de conversão, recuperação de tracking, CRM/recompra e tráfego orgânico para atingir as sessões necessárias sem pressionar o custo de aquisição.</t>
  </si>
  <si>
    <t>Comparativo dos três cenários</t>
  </si>
  <si>
    <t>Cenário</t>
  </si>
  <si>
    <t>Receita 7M</t>
  </si>
  <si>
    <t>Mídia 7M</t>
  </si>
  <si>
    <t>Saldo final</t>
  </si>
  <si>
    <t>Mês de breakeven</t>
  </si>
  <si>
    <t>Pessimista</t>
  </si>
  <si>
    <t>Não breakeva</t>
  </si>
  <si>
    <t>Realista</t>
  </si>
  <si>
    <t>Otimista</t>
  </si>
</sst>
</file>

<file path=xl/styles.xml><?xml version="1.0" encoding="utf-8"?>
<styleSheet xmlns="http://schemas.openxmlformats.org/spreadsheetml/2006/main">
  <numFmts count="4">
    <numFmt numFmtId="164" formatCode="R$ #,##0.00;[Red]-R$ #,##0.00"/>
    <numFmt numFmtId="165" formatCode="0.00%"/>
    <numFmt numFmtId="166" formatCode="#,##0"/>
    <numFmt numFmtId="167" formatCode="#,##0.00"/>
  </numFmts>
  <fonts count="13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1"/>
      <color rgb="FF243B53"/>
      <name val="Arial"/>
      <family val="2"/>
    </font>
    <font>
      <b/>
      <sz val="15"/>
      <color rgb="FF102A43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F2933"/>
      <name val="Arial"/>
      <family val="2"/>
    </font>
    <font>
      <sz val="11"/>
      <color rgb="FF1F2933"/>
      <name val="Arial"/>
      <family val="2"/>
    </font>
    <font>
      <i/>
      <sz val="9"/>
      <color rgb="FF52616B"/>
      <name val="Arial"/>
      <family val="2"/>
    </font>
    <font>
      <b/>
      <sz val="11"/>
      <color rgb="FF38761D"/>
      <name val="Arial"/>
      <family val="2"/>
    </font>
    <font>
      <b/>
      <sz val="11"/>
      <color rgb="FF990000"/>
      <name val="Arial"/>
      <family val="2"/>
    </font>
    <font>
      <b/>
      <sz val="9"/>
      <color rgb="FF990000"/>
      <name val="Arial"/>
      <family val="2"/>
    </font>
    <font>
      <b/>
      <sz val="9"/>
      <color rgb="FF38761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02A4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00A896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243B53"/>
      </left>
      <right style="thin">
        <color rgb="FF243B53"/>
      </right>
      <top style="thin">
        <color rgb="FF243B53"/>
      </top>
      <bottom style="thin">
        <color rgb="FF243B5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E6B8B7"/>
      </left>
      <right style="thin">
        <color rgb="FFE6B8B7"/>
      </right>
      <top style="thin">
        <color rgb="FFE6B8B7"/>
      </top>
      <bottom style="thin">
        <color rgb="FFE6B8B7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4" xfId="0" applyFont="1" applyFill="1" applyBorder="1"/>
    <xf numFmtId="164" fontId="7" fillId="0" borderId="4" xfId="0" applyNumberFormat="1" applyFont="1" applyBorder="1"/>
    <xf numFmtId="0" fontId="7" fillId="0" borderId="4" xfId="0" applyFont="1" applyBorder="1"/>
    <xf numFmtId="165" fontId="7" fillId="0" borderId="4" xfId="0" applyNumberFormat="1" applyFont="1" applyBorder="1"/>
    <xf numFmtId="0" fontId="8" fillId="0" borderId="0" xfId="0" applyFont="1" applyAlignment="1">
      <alignment vertical="top" wrapText="1"/>
    </xf>
    <xf numFmtId="0" fontId="9" fillId="8" borderId="5" xfId="0" applyFont="1" applyFill="1" applyBorder="1" applyAlignment="1">
      <alignment horizontal="center"/>
    </xf>
    <xf numFmtId="164" fontId="7" fillId="8" borderId="5" xfId="0" applyNumberFormat="1" applyFont="1" applyFill="1" applyBorder="1"/>
    <xf numFmtId="0" fontId="10" fillId="9" borderId="6" xfId="0" applyFont="1" applyFill="1" applyBorder="1" applyAlignment="1">
      <alignment horizontal="center"/>
    </xf>
    <xf numFmtId="166" fontId="7" fillId="8" borderId="5" xfId="0" applyNumberFormat="1" applyFont="1" applyFill="1" applyBorder="1"/>
    <xf numFmtId="165" fontId="7" fillId="8" borderId="5" xfId="0" applyNumberFormat="1" applyFont="1" applyFill="1" applyBorder="1"/>
    <xf numFmtId="167" fontId="7" fillId="8" borderId="5" xfId="0" applyNumberFormat="1" applyFont="1" applyFill="1" applyBorder="1"/>
    <xf numFmtId="165" fontId="7" fillId="10" borderId="7" xfId="0" applyNumberFormat="1" applyFont="1" applyFill="1" applyBorder="1"/>
    <xf numFmtId="164" fontId="7" fillId="10" borderId="7" xfId="0" applyNumberFormat="1" applyFont="1" applyFill="1" applyBorder="1"/>
    <xf numFmtId="0" fontId="11" fillId="9" borderId="6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166" fontId="7" fillId="0" borderId="4" xfId="0" applyNumberFormat="1" applyFont="1" applyBorder="1"/>
    <xf numFmtId="0" fontId="7" fillId="10" borderId="7" xfId="0" applyFont="1" applyFill="1" applyBorder="1"/>
    <xf numFmtId="166" fontId="7" fillId="10" borderId="7" xfId="0" applyNumberFormat="1" applyFont="1" applyFill="1" applyBorder="1"/>
  </cellXfs>
  <cellStyles count="1">
    <cellStyle name="Normal" xfId="0" builtinId="0"/>
  </cellStyles>
  <dxfs count="2">
    <dxf>
      <font>
        <b/>
        <color rgb="FF990000"/>
      </font>
      <fill>
        <patternFill>
          <bgColor rgb="FFF4CCCC"/>
        </patternFill>
      </fill>
      <border>
        <left style="thin">
          <color rgb="FFE6B8B7"/>
        </left>
        <right style="thin">
          <color rgb="FFE6B8B7"/>
        </right>
        <top style="thin">
          <color rgb="FFE6B8B7"/>
        </top>
        <bottom style="thin">
          <color rgb="FFE6B8B7"/>
        </bottom>
        <vertical/>
        <horizontal/>
      </border>
    </dxf>
    <dxf>
      <font>
        <b/>
        <color rgb="FF38761D"/>
      </font>
      <fill>
        <patternFill>
          <bgColor rgb="FFD9EAD3"/>
        </patternFill>
      </fill>
      <border>
        <left style="thin">
          <color rgb="FFA9D18E"/>
        </left>
        <right style="thin">
          <color rgb="FFA9D18E"/>
        </right>
        <top style="thin">
          <color rgb="FFA9D18E"/>
        </top>
        <bottom style="thin">
          <color rgb="FFA9D18E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Recuperação do déficit acumulado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Resultado líquido acumulado</c:v>
          </c:tx>
          <c:spPr>
            <a:ln w="38100">
              <a:solidFill>
                <a:srgbClr val="00A896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A896"/>
                </a:solidFill>
              </a:ln>
            </c:spPr>
          </c:marker>
          <c:cat>
            <c:numRef>
              <c:f>'Breakeven 7M'!$E$2:$K$2</c:f>
              <c:numCache>
                <c:formatCode>General</c:formatCode>
                <c:ptCount val="7"/>
                <c:pt idx="0">
                  <c:v>10500.0</c:v>
                </c:pt>
                <c:pt idx="1">
                  <c:v>10500.0</c:v>
                </c:pt>
                <c:pt idx="2">
                  <c:v>10500.0</c:v>
                </c:pt>
                <c:pt idx="3">
                  <c:v>10500.0</c:v>
                </c:pt>
                <c:pt idx="4">
                  <c:v>10500.0</c:v>
                </c:pt>
                <c:pt idx="5">
                  <c:v>10500.0</c:v>
                </c:pt>
                <c:pt idx="6">
                  <c:v>10500.0</c:v>
                </c:pt>
              </c:numCache>
            </c:numRef>
          </c:cat>
          <c:val>
            <c:numRef>
              <c:f>'Breakeven 7M'!$E$28:$K$28</c:f>
              <c:numCache>
                <c:formatCode>General</c:formatCode>
                <c:ptCount val="7"/>
                <c:pt idx="0">
                  <c:v>-48302.73</c:v>
                </c:pt>
                <c:pt idx="1">
                  <c:v>-46832.73</c:v>
                </c:pt>
                <c:pt idx="2">
                  <c:v>-42542.73</c:v>
                </c:pt>
                <c:pt idx="3">
                  <c:v>-35342.73</c:v>
                </c:pt>
                <c:pt idx="4">
                  <c:v>-26042.73</c:v>
                </c:pt>
                <c:pt idx="5">
                  <c:v>-14222.73</c:v>
                </c:pt>
                <c:pt idx="6">
                  <c:v>-0.0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Resultado acumulado</a:t>
                </a:r>
              </a:p>
            </c:rich>
          </c:tx>
          <c:layout/>
        </c:title>
        <c:numFmt formatCode="R$ 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6</xdr:col>
      <xdr:colOff>352425</xdr:colOff>
      <xdr:row>38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02A43"/>
  </sheetPr>
  <dimension ref="B2:J46"/>
  <sheetViews>
    <sheetView showGridLines="0" tabSelected="1" workbookViewId="0"/>
  </sheetViews>
  <sheetFormatPr defaultRowHeight="15"/>
  <cols>
    <col min="1" max="1" width="3.7109375" customWidth="1"/>
    <col min="2" max="10" width="14.7109375" customWidth="1"/>
  </cols>
  <sheetData>
    <row r="2" spans="2:10">
      <c r="B2" s="1" t="s">
        <v>183</v>
      </c>
      <c r="C2" s="1"/>
      <c r="D2" s="1"/>
      <c r="E2" s="1"/>
      <c r="F2" s="1"/>
      <c r="G2" s="1"/>
      <c r="H2" s="1"/>
      <c r="I2" s="1"/>
      <c r="J2" s="1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5" spans="2:10">
      <c r="B5" s="2" t="s">
        <v>184</v>
      </c>
      <c r="C5" s="2"/>
      <c r="D5" s="2"/>
      <c r="E5" s="2" t="s">
        <v>92</v>
      </c>
      <c r="F5" s="2"/>
      <c r="G5" s="2"/>
      <c r="H5" s="2" t="s">
        <v>185</v>
      </c>
      <c r="I5" s="2"/>
      <c r="J5" s="2"/>
    </row>
    <row r="6" spans="2:10">
      <c r="B6" s="3">
        <f>'Breakeven 7M'!B28</f>
        <v>-47042.72738999999</v>
      </c>
      <c r="C6" s="3"/>
      <c r="D6" s="3"/>
      <c r="E6" s="3">
        <f>'Premissas'!F8</f>
        <v>70000.0</v>
      </c>
      <c r="F6" s="3"/>
      <c r="G6" s="3"/>
      <c r="H6" s="3">
        <f>'Breakeven 7M'!C32</f>
        <v>803618.1826</v>
      </c>
      <c r="I6" s="3"/>
      <c r="J6" s="3"/>
    </row>
    <row r="7" spans="2:10">
      <c r="B7" s="3"/>
      <c r="C7" s="3"/>
      <c r="D7" s="3"/>
      <c r="E7" s="3"/>
      <c r="F7" s="3"/>
      <c r="G7" s="3"/>
      <c r="H7" s="3"/>
      <c r="I7" s="3"/>
      <c r="J7" s="3"/>
    </row>
    <row r="8" spans="2:10">
      <c r="B8" s="3"/>
      <c r="C8" s="3"/>
      <c r="D8" s="3"/>
      <c r="E8" s="3"/>
      <c r="F8" s="3"/>
      <c r="G8" s="3"/>
      <c r="H8" s="3"/>
      <c r="I8" s="3"/>
      <c r="J8" s="3"/>
    </row>
    <row r="11" spans="2:10">
      <c r="B11" s="4" t="s">
        <v>186</v>
      </c>
      <c r="C11" s="4"/>
      <c r="D11" s="4"/>
      <c r="E11" s="4"/>
      <c r="F11" s="4"/>
      <c r="G11" s="4"/>
      <c r="H11" s="4"/>
      <c r="I11" s="4"/>
      <c r="J11" s="4"/>
    </row>
    <row r="12" spans="2:10">
      <c r="B12" s="5" t="s">
        <v>187</v>
      </c>
      <c r="C12" s="5"/>
      <c r="D12" s="5" t="s">
        <v>188</v>
      </c>
      <c r="E12" s="5"/>
      <c r="F12" s="5" t="s">
        <v>189</v>
      </c>
      <c r="G12" s="5"/>
      <c r="H12" s="5" t="s">
        <v>190</v>
      </c>
      <c r="I12" s="5"/>
      <c r="J12" s="5"/>
    </row>
    <row r="13" spans="2:10">
      <c r="B13" s="6" t="s">
        <v>7</v>
      </c>
      <c r="C13" s="6"/>
      <c r="D13" s="7">
        <v>214136.28</v>
      </c>
      <c r="E13" s="7"/>
      <c r="F13" s="7">
        <v>803618.1825999999</v>
      </c>
      <c r="G13" s="7"/>
      <c r="H13" s="8" t="s">
        <v>191</v>
      </c>
      <c r="I13" s="8"/>
      <c r="J13" s="8"/>
    </row>
    <row r="14" spans="2:10">
      <c r="B14" s="6" t="s">
        <v>176</v>
      </c>
      <c r="C14" s="6"/>
      <c r="D14" s="9">
        <v>0.0162422388194007</v>
      </c>
      <c r="E14" s="9"/>
      <c r="F14" s="9">
        <v>0.02519613211706942</v>
      </c>
      <c r="G14" s="9"/>
      <c r="H14" s="8" t="s">
        <v>192</v>
      </c>
      <c r="I14" s="8"/>
      <c r="J14" s="8"/>
    </row>
    <row r="15" spans="2:10">
      <c r="B15" s="6" t="s">
        <v>79</v>
      </c>
      <c r="C15" s="6"/>
      <c r="D15" s="7">
        <v>296.5876454293629</v>
      </c>
      <c r="E15" s="7"/>
      <c r="F15" s="7">
        <v>307.3451596812546</v>
      </c>
      <c r="G15" s="7"/>
      <c r="H15" s="8" t="s">
        <v>193</v>
      </c>
      <c r="I15" s="8"/>
      <c r="J15" s="8"/>
    </row>
    <row r="16" spans="2:10">
      <c r="B16" s="6" t="s">
        <v>148</v>
      </c>
      <c r="C16" s="6"/>
      <c r="D16" s="7">
        <v>0.7910368350130479</v>
      </c>
      <c r="E16" s="7"/>
      <c r="F16" s="7">
        <v>0.3372706461588144</v>
      </c>
      <c r="G16" s="7"/>
      <c r="H16" s="8" t="s">
        <v>194</v>
      </c>
      <c r="I16" s="8"/>
      <c r="J16" s="8"/>
    </row>
    <row r="17" spans="2:10">
      <c r="B17" s="6" t="s">
        <v>85</v>
      </c>
      <c r="C17" s="6"/>
      <c r="D17" s="7">
        <v>-47042.72738999999</v>
      </c>
      <c r="E17" s="7"/>
      <c r="F17" s="7">
        <v>0</v>
      </c>
      <c r="G17" s="7"/>
      <c r="H17" s="8" t="s">
        <v>195</v>
      </c>
      <c r="I17" s="8"/>
      <c r="J17" s="8"/>
    </row>
    <row r="20" spans="2:10">
      <c r="B20" s="4" t="s">
        <v>196</v>
      </c>
      <c r="C20" s="4"/>
      <c r="D20" s="4"/>
      <c r="E20" s="4"/>
      <c r="F20" s="4"/>
      <c r="G20" s="4"/>
      <c r="H20" s="4"/>
      <c r="I20" s="4"/>
      <c r="J20" s="4"/>
    </row>
    <row r="22" spans="2:10">
      <c r="H22" s="10" t="s">
        <v>197</v>
      </c>
      <c r="I22" s="10"/>
      <c r="J22" s="10"/>
    </row>
    <row r="23" spans="2:10">
      <c r="H23" s="10"/>
      <c r="I23" s="10"/>
      <c r="J23" s="10"/>
    </row>
    <row r="24" spans="2:10">
      <c r="H24" s="10"/>
      <c r="I24" s="10"/>
      <c r="J24" s="10"/>
    </row>
    <row r="25" spans="2:10">
      <c r="H25" s="10"/>
      <c r="I25" s="10"/>
      <c r="J25" s="10"/>
    </row>
    <row r="26" spans="2:10">
      <c r="H26" s="10"/>
      <c r="I26" s="10"/>
      <c r="J26" s="10"/>
    </row>
    <row r="27" spans="2:10">
      <c r="H27" s="10"/>
      <c r="I27" s="10"/>
      <c r="J27" s="10"/>
    </row>
    <row r="29" spans="2:10">
      <c r="H29" s="2" t="s">
        <v>25</v>
      </c>
      <c r="I29" s="2"/>
      <c r="J29" s="2"/>
    </row>
    <row r="30" spans="2:10">
      <c r="H30" s="11" t="str">
        <f>IF('Breakeven 7M'!K28&gt;=-0.01,"BREAKEVEN NO MÊS 7","REVISAR CENÁRIO")</f>
        <v>BREAKEVEN NO MÊS 7</v>
      </c>
      <c r="I30" s="11"/>
      <c r="J30" s="11"/>
    </row>
    <row r="31" spans="2:10">
      <c r="H31" s="11"/>
      <c r="I31" s="11"/>
      <c r="J31" s="11"/>
    </row>
    <row r="32" spans="2:10">
      <c r="H32" s="11"/>
      <c r="I32" s="11"/>
      <c r="J32" s="11"/>
    </row>
    <row r="42" spans="2:10">
      <c r="B42" s="4" t="s">
        <v>198</v>
      </c>
      <c r="C42" s="4"/>
      <c r="D42" s="4"/>
      <c r="E42" s="4"/>
      <c r="F42" s="4"/>
      <c r="G42" s="4"/>
      <c r="H42" s="4"/>
      <c r="I42" s="4"/>
      <c r="J42" s="4"/>
    </row>
    <row r="43" spans="2:10">
      <c r="B43" s="5" t="s">
        <v>199</v>
      </c>
      <c r="C43" s="5"/>
      <c r="D43" s="5" t="s">
        <v>200</v>
      </c>
      <c r="E43" s="5"/>
      <c r="F43" s="5" t="s">
        <v>201</v>
      </c>
      <c r="G43" s="5"/>
      <c r="H43" s="5" t="s">
        <v>202</v>
      </c>
      <c r="I43" s="5"/>
      <c r="J43" s="5" t="s">
        <v>203</v>
      </c>
    </row>
    <row r="44" spans="2:10">
      <c r="B44" s="6" t="s">
        <v>204</v>
      </c>
      <c r="C44" s="6"/>
      <c r="D44" s="12">
        <f>'Pessimista'!D6</f>
        <v>350000</v>
      </c>
      <c r="E44" s="12"/>
      <c r="F44" s="12">
        <f>'Pessimista'!D4</f>
        <v>35000</v>
      </c>
      <c r="G44" s="12"/>
      <c r="H44" s="12">
        <f>'Pessimista'!D11</f>
        <v>-68042.73</v>
      </c>
      <c r="I44" s="12"/>
      <c r="J44" s="13" t="s">
        <v>205</v>
      </c>
    </row>
    <row r="45" spans="2:10">
      <c r="B45" s="6" t="s">
        <v>206</v>
      </c>
      <c r="C45" s="6"/>
      <c r="D45" s="12">
        <f>'Realista'!D6</f>
        <v>983000</v>
      </c>
      <c r="E45" s="12"/>
      <c r="F45" s="12">
        <f>'Realista'!D4</f>
        <v>59000</v>
      </c>
      <c r="G45" s="12"/>
      <c r="H45" s="12">
        <f>'Realista'!D11</f>
        <v>2907.27</v>
      </c>
      <c r="I45" s="12"/>
      <c r="J45" s="11" t="s">
        <v>103</v>
      </c>
    </row>
    <row r="46" spans="2:10">
      <c r="B46" s="6" t="s">
        <v>207</v>
      </c>
      <c r="C46" s="6"/>
      <c r="D46" s="12">
        <f>'Otimista'!D6</f>
        <v>1152000</v>
      </c>
      <c r="E46" s="12"/>
      <c r="F46" s="12">
        <f>'Otimista'!D4</f>
        <v>59000</v>
      </c>
      <c r="G46" s="12"/>
      <c r="H46" s="12">
        <f>'Otimista'!D11</f>
        <v>28257.27</v>
      </c>
      <c r="I46" s="12"/>
      <c r="J46" s="11" t="s">
        <v>102</v>
      </c>
    </row>
  </sheetData>
  <mergeCells count="53">
    <mergeCell ref="B2:J3"/>
    <mergeCell ref="B5:D5"/>
    <mergeCell ref="B6:D8"/>
    <mergeCell ref="E5:G5"/>
    <mergeCell ref="E6:G8"/>
    <mergeCell ref="H5:J5"/>
    <mergeCell ref="H6:J8"/>
    <mergeCell ref="B11:J11"/>
    <mergeCell ref="B12:C12"/>
    <mergeCell ref="D12:E12"/>
    <mergeCell ref="F12:G12"/>
    <mergeCell ref="H12:J12"/>
    <mergeCell ref="B13:C13"/>
    <mergeCell ref="D13:E13"/>
    <mergeCell ref="F13:G13"/>
    <mergeCell ref="H13:J13"/>
    <mergeCell ref="B14:C14"/>
    <mergeCell ref="D14:E14"/>
    <mergeCell ref="F14:G14"/>
    <mergeCell ref="H14:J14"/>
    <mergeCell ref="B15:C15"/>
    <mergeCell ref="D15:E15"/>
    <mergeCell ref="F15:G15"/>
    <mergeCell ref="H15:J15"/>
    <mergeCell ref="B16:C16"/>
    <mergeCell ref="D16:E16"/>
    <mergeCell ref="F16:G16"/>
    <mergeCell ref="H16:J16"/>
    <mergeCell ref="B17:C17"/>
    <mergeCell ref="D17:E17"/>
    <mergeCell ref="F17:G17"/>
    <mergeCell ref="H17:J17"/>
    <mergeCell ref="B20:J20"/>
    <mergeCell ref="H22:J27"/>
    <mergeCell ref="H29:J29"/>
    <mergeCell ref="H30:J32"/>
    <mergeCell ref="B42:J42"/>
    <mergeCell ref="B43:C43"/>
    <mergeCell ref="D43:E43"/>
    <mergeCell ref="F43:G43"/>
    <mergeCell ref="H43:I43"/>
    <mergeCell ref="B44:C44"/>
    <mergeCell ref="D44:E44"/>
    <mergeCell ref="F44:G44"/>
    <mergeCell ref="H44:I44"/>
    <mergeCell ref="B45:C45"/>
    <mergeCell ref="D45:E45"/>
    <mergeCell ref="F45:G45"/>
    <mergeCell ref="H45:I45"/>
    <mergeCell ref="B46:C46"/>
    <mergeCell ref="D46:E46"/>
    <mergeCell ref="F46:G46"/>
    <mergeCell ref="H46:I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896"/>
  </sheetPr>
  <dimension ref="A1:K62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36.7109375" customWidth="1"/>
    <col min="2" max="3" width="19.7109375" customWidth="1"/>
    <col min="4" max="4" width="3.7109375" customWidth="1"/>
    <col min="5" max="11" width="15.7109375" customWidth="1"/>
  </cols>
  <sheetData>
    <row r="1" spans="1:1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6" t="s">
        <v>113</v>
      </c>
      <c r="B2" s="12">
        <f>'Premissas'!B9</f>
        <v>79163.16939</v>
      </c>
      <c r="C2" s="12">
        <f>SUM(E2:K2)</f>
        <v>73500.0</v>
      </c>
      <c r="D2" s="8"/>
      <c r="E2" s="12">
        <f>E3+E4</f>
        <v>10500.0</v>
      </c>
      <c r="F2" s="12">
        <f>F3+F4</f>
        <v>10500.0</v>
      </c>
      <c r="G2" s="12">
        <f>G3+G4</f>
        <v>10500.0</v>
      </c>
      <c r="H2" s="12">
        <f>H3+H4</f>
        <v>10500.0</v>
      </c>
      <c r="I2" s="12">
        <f>I3+I4</f>
        <v>10500.0</v>
      </c>
      <c r="J2" s="12">
        <f>J3+J4</f>
        <v>10500.0</v>
      </c>
      <c r="K2" s="12">
        <f>K3+K4</f>
        <v>10500.0</v>
      </c>
    </row>
    <row r="3" spans="1:11">
      <c r="A3" s="6" t="s">
        <v>114</v>
      </c>
      <c r="B3" s="12">
        <f>'Premissas'!B7</f>
        <v>44000.0</v>
      </c>
      <c r="C3" s="12">
        <f>SUM(E3:K3)</f>
        <v>38500.0</v>
      </c>
      <c r="E3" s="12">
        <f>'Premissas'!F4</f>
        <v>5500.0</v>
      </c>
      <c r="F3" s="12">
        <f>'Premissas'!F4</f>
        <v>5500.0</v>
      </c>
      <c r="G3" s="12">
        <f>'Premissas'!F4</f>
        <v>5500.0</v>
      </c>
      <c r="H3" s="12">
        <f>'Premissas'!F4</f>
        <v>5500.0</v>
      </c>
      <c r="I3" s="12">
        <f>'Premissas'!F4</f>
        <v>5500.0</v>
      </c>
      <c r="J3" s="12">
        <f>'Premissas'!F4</f>
        <v>5500.0</v>
      </c>
      <c r="K3" s="12">
        <f>'Premissas'!F4</f>
        <v>5500.0</v>
      </c>
    </row>
    <row r="4" spans="1:11">
      <c r="A4" s="6" t="s">
        <v>115</v>
      </c>
      <c r="B4" s="12">
        <f>'Premissas'!B8</f>
        <v>35163.16939</v>
      </c>
      <c r="C4" s="12">
        <f>SUM(E4:K4)</f>
        <v>35000.0</v>
      </c>
      <c r="E4" s="12">
        <f>'Premissas'!F5</f>
        <v>5000.0</v>
      </c>
      <c r="F4" s="12">
        <f>'Premissas'!F5</f>
        <v>5000.0</v>
      </c>
      <c r="G4" s="12">
        <f>'Premissas'!F5</f>
        <v>5000.0</v>
      </c>
      <c r="H4" s="12">
        <f>'Premissas'!F5</f>
        <v>5000.0</v>
      </c>
      <c r="I4" s="12">
        <f>'Premissas'!F5</f>
        <v>5000.0</v>
      </c>
      <c r="J4" s="12">
        <f>'Premissas'!F5</f>
        <v>5000.0</v>
      </c>
      <c r="K4" s="12">
        <f>'Premissas'!F5</f>
        <v>5000.0</v>
      </c>
    </row>
    <row r="5" spans="1:11">
      <c r="A5" s="6" t="s">
        <v>116</v>
      </c>
      <c r="B5" s="14">
        <f>'Premissas'!B11</f>
        <v>44452</v>
      </c>
      <c r="C5" s="14">
        <f>SUM(E5:K5)</f>
        <v>103774.22523607097</v>
      </c>
      <c r="E5" s="14">
        <f>E11/E13</f>
        <v>10274.89665995948</v>
      </c>
      <c r="F5" s="14">
        <f>F11/F13</f>
        <v>12310.311954660157</v>
      </c>
      <c r="G5" s="14">
        <f>G11/G13</f>
        <v>14101.264296177433</v>
      </c>
      <c r="H5" s="14">
        <f>H11/H13</f>
        <v>15680.08851099051</v>
      </c>
      <c r="I5" s="14">
        <f>I11/I13</f>
        <v>16331.615459382281</v>
      </c>
      <c r="J5" s="14">
        <f>J11/J13</f>
        <v>17367.71234321712</v>
      </c>
      <c r="K5" s="14">
        <f>K11/K13</f>
        <v>17708.336011683972</v>
      </c>
    </row>
    <row r="6" spans="1:11">
      <c r="A6" s="6" t="s">
        <v>117</v>
      </c>
      <c r="B6" s="12">
        <f>B4/B5</f>
        <v>0.7910368350130479</v>
      </c>
      <c r="C6" s="12">
        <f>C4/C5</f>
        <v>0.3372706461588144</v>
      </c>
      <c r="E6" s="12">
        <f>E4/E5</f>
        <v>0.48662289903942624</v>
      </c>
      <c r="F6" s="12">
        <f>F4/F5</f>
        <v>0.40616354958472145</v>
      </c>
      <c r="G6" s="12">
        <f>G4/G5</f>
        <v>0.3545781353346734</v>
      </c>
      <c r="H6" s="12">
        <f>H4/H5</f>
        <v>0.31887575101986143</v>
      </c>
      <c r="I6" s="12">
        <f>I4/I5</f>
        <v>0.3061546490875507</v>
      </c>
      <c r="J6" s="12">
        <f>J4/J5</f>
        <v>0.2878905351027838</v>
      </c>
      <c r="K6" s="12">
        <f>K4/K5</f>
        <v>0.2823528984711492</v>
      </c>
    </row>
    <row r="7" spans="1:11">
      <c r="A7" s="6" t="s">
        <v>118</v>
      </c>
      <c r="B7" s="15">
        <f>B8/B5</f>
        <v>0.019504184288670925</v>
      </c>
      <c r="C7" s="15">
        <f>C8/C5</f>
        <v>0.02989007929453809</v>
      </c>
      <c r="E7" s="15">
        <f>E8/E5</f>
        <v>0.024273482749937042</v>
      </c>
      <c r="F7" s="15">
        <f>F8/F5</f>
        <v>0.02589674055685857</v>
      </c>
      <c r="G7" s="15">
        <f>G8/G5</f>
        <v>0.027562442555266787</v>
      </c>
      <c r="H7" s="15">
        <f>H8/H5</f>
        <v>0.02927015381547751</v>
      </c>
      <c r="I7" s="15">
        <f>I8/I5</f>
        <v>0.031019445329933063</v>
      </c>
      <c r="J7" s="15">
        <f>J8/J5</f>
        <v>0.03244533953593918</v>
      </c>
      <c r="K7" s="15">
        <f>K8/K5</f>
        <v>0.034779804970116394</v>
      </c>
    </row>
    <row r="8" spans="1:11">
      <c r="A8" s="6" t="s">
        <v>119</v>
      </c>
      <c r="B8" s="14">
        <f>'Premissas'!B12</f>
        <v>867</v>
      </c>
      <c r="C8" s="14">
        <f>SUM(E8:K8)</f>
        <v>3101.8198210354167</v>
      </c>
      <c r="E8" s="14">
        <f>E11/E10</f>
        <v>249.4075268329122</v>
      </c>
      <c r="F8" s="14">
        <f>F11/F10</f>
        <v>318.7969548638286</v>
      </c>
      <c r="G8" s="14">
        <f>G11/G10</f>
        <v>388.665287120025</v>
      </c>
      <c r="H8" s="14">
        <f>H11/H10</f>
        <v>458.9586025569939</v>
      </c>
      <c r="I8" s="14">
        <f>I11/I10</f>
        <v>506.5976528917983</v>
      </c>
      <c r="J8" s="14">
        <f>J11/J10</f>
        <v>563.5013239382014</v>
      </c>
      <c r="K8" s="14">
        <f>K11/K10</f>
        <v>615.8924728316573</v>
      </c>
    </row>
    <row r="9" spans="1:11">
      <c r="A9" s="6" t="s">
        <v>120</v>
      </c>
      <c r="B9" s="12">
        <f>B4/B8</f>
        <v>40.557288800461365</v>
      </c>
      <c r="C9" s="12">
        <f>C4/C8</f>
        <v>11.283698609004526</v>
      </c>
      <c r="E9" s="12">
        <f>E4/E8</f>
        <v>20.04751044802948</v>
      </c>
      <c r="F9" s="12">
        <f>F4/F8</f>
        <v>15.683964114825711</v>
      </c>
      <c r="G9" s="12">
        <f>G4/G8</f>
        <v>12.864539658402613</v>
      </c>
      <c r="H9" s="12">
        <f>H4/H8</f>
        <v>10.89422874338453</v>
      </c>
      <c r="I9" s="12">
        <f>I4/I8</f>
        <v>9.869765427176041</v>
      </c>
      <c r="J9" s="12">
        <f>J4/J8</f>
        <v>8.873093615922622</v>
      </c>
      <c r="K9" s="12">
        <f>K4/K8</f>
        <v>8.118300223757819</v>
      </c>
    </row>
    <row r="10" spans="1:11">
      <c r="A10" s="6" t="s">
        <v>121</v>
      </c>
      <c r="B10" s="15">
        <f>B11/B8</f>
        <v>0.8327566320645905</v>
      </c>
      <c r="C10" s="15">
        <f>C11/C8</f>
        <v>0.8429596947129407</v>
      </c>
      <c r="E10" s="15">
        <f>'Premissas'!F18</f>
        <v>0.8327566320645905</v>
      </c>
      <c r="F10" s="15">
        <f>'Premissas'!G18</f>
        <v>0.8356305267204921</v>
      </c>
      <c r="G10" s="15">
        <f>'Premissas'!H18</f>
        <v>0.8385044213763937</v>
      </c>
      <c r="H10" s="15">
        <f>'Premissas'!I18</f>
        <v>0.8413783160322952</v>
      </c>
      <c r="I10" s="15">
        <f>'Premissas'!J18</f>
        <v>0.8442522106881968</v>
      </c>
      <c r="J10" s="15">
        <f>'Premissas'!K18</f>
        <v>0.8471261053440984</v>
      </c>
      <c r="K10" s="15">
        <f>'Premissas'!L18</f>
        <v>0.85</v>
      </c>
    </row>
    <row r="11" spans="1:11">
      <c r="A11" s="6" t="s">
        <v>122</v>
      </c>
      <c r="B11" s="14">
        <f>'Premissas'!B13</f>
        <v>722</v>
      </c>
      <c r="C11" s="14">
        <f>SUM(E11:K11)</f>
        <v>2614.7090893945633</v>
      </c>
      <c r="E11" s="14">
        <f>E18/E15</f>
        <v>207.69577205693494</v>
      </c>
      <c r="F11" s="14">
        <f>F18/F15</f>
        <v>266.39646730975005</v>
      </c>
      <c r="G11" s="14">
        <f>G18/G15</f>
        <v>325.8975616856665</v>
      </c>
      <c r="H11" s="14">
        <f>H18/H15</f>
        <v>386.157816147939</v>
      </c>
      <c r="I11" s="14">
        <f>I18/I15</f>
        <v>427.6961883833525</v>
      </c>
      <c r="J11" s="14">
        <f>J18/J15</f>
        <v>477.35668190401174</v>
      </c>
      <c r="K11" s="14">
        <f>K18/K15</f>
        <v>523.5086019069087</v>
      </c>
    </row>
    <row r="12" spans="1:11">
      <c r="A12" s="6" t="s">
        <v>123</v>
      </c>
      <c r="B12" s="12">
        <f>B4/B11</f>
        <v>48.70245067867037</v>
      </c>
      <c r="C12" s="12">
        <f>C4/C11</f>
        <v>13.385810353420334</v>
      </c>
      <c r="E12" s="12">
        <f>E4/E11</f>
        <v>24.07367251861712</v>
      </c>
      <c r="F12" s="12">
        <f>F4/F11</f>
        <v>18.76901766188324</v>
      </c>
      <c r="G12" s="12">
        <f>G4/G11</f>
        <v>15.342244274974297</v>
      </c>
      <c r="H12" s="12">
        <f>H4/H11</f>
        <v>12.948074053962628</v>
      </c>
      <c r="I12" s="12">
        <f>I4/I11</f>
        <v>11.690541407206561</v>
      </c>
      <c r="J12" s="12">
        <f>J4/J11</f>
        <v>10.474347986618138</v>
      </c>
      <c r="K12" s="12">
        <f>K4/K11</f>
        <v>9.550941439715082</v>
      </c>
    </row>
    <row r="13" spans="1:11">
      <c r="A13" s="6" t="s">
        <v>124</v>
      </c>
      <c r="B13" s="15">
        <f>B11/B5</f>
        <v>0.016242238819400703</v>
      </c>
      <c r="C13" s="15">
        <f>C11/C5</f>
        <v>0.025196132117069416</v>
      </c>
      <c r="E13" s="15">
        <f>'Premissas'!F15*'Premissas'!F16*'Premissas'!F17</f>
        <v>0.020213903743315508</v>
      </c>
      <c r="F13" s="15">
        <f>'Premissas'!G15*'Premissas'!G16*'Premissas'!G17</f>
        <v>0.021640106951871657</v>
      </c>
      <c r="G13" s="15">
        <f>'Premissas'!H15*'Premissas'!H16*'Premissas'!H17</f>
        <v>0.023111229946524068</v>
      </c>
      <c r="H13" s="15">
        <f>'Premissas'!I15*'Premissas'!I16*'Premissas'!I17</f>
        <v>0.024627272727272727</v>
      </c>
      <c r="I13" s="15">
        <f>'Premissas'!J15*'Premissas'!J16*'Premissas'!J17</f>
        <v>0.026188235294117648</v>
      </c>
      <c r="J13" s="15">
        <f>'Premissas'!K15*'Premissas'!K16*'Premissas'!K17</f>
        <v>0.02748529411764706</v>
      </c>
      <c r="K13" s="15">
        <f>'Premissas'!L15*'Premissas'!L16*'Premissas'!L17</f>
        <v>0.029562834224598933</v>
      </c>
    </row>
    <row r="15" spans="1:11">
      <c r="A15" s="6" t="s">
        <v>79</v>
      </c>
      <c r="B15" s="12">
        <f>'Premissas'!B14</f>
        <v>296.5876454293629</v>
      </c>
      <c r="C15" s="12">
        <f>C18/C11</f>
        <v>307.34515968125464</v>
      </c>
      <c r="E15" s="12">
        <f>B15</f>
        <v>296.5876454293629</v>
      </c>
      <c r="F15" s="12">
        <f>E15*1.01</f>
        <v>299.5535218836565</v>
      </c>
      <c r="G15" s="12">
        <f>F15*1.01</f>
        <v>302.5490571024931</v>
      </c>
      <c r="H15" s="12">
        <f>G15*1.01</f>
        <v>305.57454767351805</v>
      </c>
      <c r="I15" s="12">
        <f>H15*1.01</f>
        <v>308.63029315025324</v>
      </c>
      <c r="J15" s="12">
        <f>I15*1.01</f>
        <v>311.71659608175577</v>
      </c>
      <c r="K15" s="12">
        <f>J15*1.01</f>
        <v>314.83376204257337</v>
      </c>
    </row>
    <row r="16" spans="1:11">
      <c r="A16" s="6" t="s">
        <v>125</v>
      </c>
      <c r="B16" s="15">
        <f>'Premissas'!B15</f>
        <v>0.15</v>
      </c>
      <c r="C16" s="15">
        <f>'Premissas'!F7</f>
        <v>0.15</v>
      </c>
      <c r="E16" s="15">
        <f>'Premissas'!F7</f>
        <v>0.15</v>
      </c>
      <c r="F16" s="15">
        <f>'Premissas'!F7</f>
        <v>0.15</v>
      </c>
      <c r="G16" s="15">
        <f>'Premissas'!F7</f>
        <v>0.15</v>
      </c>
      <c r="H16" s="15">
        <f>'Premissas'!F7</f>
        <v>0.15</v>
      </c>
      <c r="I16" s="15">
        <f>'Premissas'!F7</f>
        <v>0.15</v>
      </c>
      <c r="J16" s="15">
        <f>'Premissas'!F7</f>
        <v>0.15</v>
      </c>
      <c r="K16" s="15">
        <f>'Premissas'!F7</f>
        <v>0.15</v>
      </c>
    </row>
    <row r="18" spans="1:11">
      <c r="A18" s="6" t="s">
        <v>126</v>
      </c>
      <c r="B18" s="12">
        <f>'Premissas'!B10</f>
        <v>214136.28000000003</v>
      </c>
      <c r="C18" s="12">
        <f>SUM(E18:K18)</f>
        <v>803618.1826</v>
      </c>
      <c r="E18" s="12">
        <f>'Premissas'!F14</f>
        <v>61600.0</v>
      </c>
      <c r="F18" s="12">
        <f>'Premissas'!G14</f>
        <v>79800.0</v>
      </c>
      <c r="G18" s="12">
        <f>'Premissas'!H14</f>
        <v>98600.0</v>
      </c>
      <c r="H18" s="12">
        <f>'Premissas'!I14</f>
        <v>118000.0</v>
      </c>
      <c r="I18" s="12">
        <f>'Premissas'!J14</f>
        <v>132000.0</v>
      </c>
      <c r="J18" s="12">
        <f>'Premissas'!K14</f>
        <v>148800.0</v>
      </c>
      <c r="K18" s="12">
        <f>'Premissas'!L14</f>
        <v>164818.18259999994</v>
      </c>
    </row>
    <row r="19" spans="1:11">
      <c r="A19" s="6" t="s">
        <v>127</v>
      </c>
      <c r="B19" s="12">
        <f>B18</f>
        <v>214136.28000000003</v>
      </c>
      <c r="C19" s="12">
        <f>C18</f>
        <v>803618.1826</v>
      </c>
      <c r="E19" s="12">
        <f>SUM($E18:E18)</f>
        <v>61600.0</v>
      </c>
      <c r="F19" s="12">
        <f>SUM($E18:F18)</f>
        <v>141400.0</v>
      </c>
      <c r="G19" s="12">
        <f>SUM($E18:G18)</f>
        <v>240000.0</v>
      </c>
      <c r="H19" s="12">
        <f>SUM($E18:H18)</f>
        <v>358000.0</v>
      </c>
      <c r="I19" s="12">
        <f>SUM($E18:I18)</f>
        <v>490000.0</v>
      </c>
      <c r="J19" s="12">
        <f>SUM($E18:J18)</f>
        <v>638800.0</v>
      </c>
      <c r="K19" s="12">
        <f>SUM($E18:K18)</f>
        <v>803618.1826</v>
      </c>
    </row>
    <row r="20" spans="1:11">
      <c r="A20" s="6" t="s">
        <v>128</v>
      </c>
      <c r="B20" s="16">
        <f>B18/B4</f>
        <v>6.089788938675644</v>
      </c>
      <c r="C20" s="16">
        <f>C18/C4</f>
        <v>22.960519502857142</v>
      </c>
      <c r="E20" s="16">
        <f>E18/E4</f>
        <v>12.32</v>
      </c>
      <c r="F20" s="16">
        <f>F18/F4</f>
        <v>15.96</v>
      </c>
      <c r="G20" s="16">
        <f>G18/G4</f>
        <v>19.72</v>
      </c>
      <c r="H20" s="16">
        <f>H18/H4</f>
        <v>23.6</v>
      </c>
      <c r="I20" s="16">
        <f>I18/I4</f>
        <v>26.4</v>
      </c>
      <c r="J20" s="16">
        <f>J18/J4</f>
        <v>29.76</v>
      </c>
      <c r="K20" s="16">
        <f>K18/K4</f>
        <v>32.96363651999999</v>
      </c>
    </row>
    <row r="21" spans="1:11">
      <c r="A21" s="6" t="s">
        <v>129</v>
      </c>
      <c r="B21" s="12">
        <f>B18*B16</f>
        <v>32120.442000000003</v>
      </c>
      <c r="C21" s="12">
        <f>C18*C16</f>
        <v>120542.72738999999</v>
      </c>
      <c r="E21" s="12">
        <f>E18*E16</f>
        <v>9240.0</v>
      </c>
      <c r="F21" s="12">
        <f>F18*F16</f>
        <v>11970.0</v>
      </c>
      <c r="G21" s="12">
        <f>G18*G16</f>
        <v>14790.0</v>
      </c>
      <c r="H21" s="12">
        <f>H18*H16</f>
        <v>17700.0</v>
      </c>
      <c r="I21" s="12">
        <f>I18*I16</f>
        <v>19800.0</v>
      </c>
      <c r="J21" s="12">
        <f>J18*J16</f>
        <v>22320.0</v>
      </c>
      <c r="K21" s="12">
        <f>K18*K16</f>
        <v>24722.72738999999</v>
      </c>
    </row>
    <row r="22" spans="1:11">
      <c r="A22" s="6" t="s">
        <v>130</v>
      </c>
      <c r="B22" s="12">
        <f>B21</f>
        <v>32120.442000000003</v>
      </c>
      <c r="C22" s="12">
        <f>C21</f>
        <v>120542.72738999999</v>
      </c>
      <c r="E22" s="12">
        <f>SUM($E21:E21)</f>
        <v>9240.0</v>
      </c>
      <c r="F22" s="12">
        <f>SUM($E21:F21)</f>
        <v>21210.0</v>
      </c>
      <c r="G22" s="12">
        <f>SUM($E21:G21)</f>
        <v>36000.0</v>
      </c>
      <c r="H22" s="12">
        <f>SUM($E21:H21)</f>
        <v>53700.0</v>
      </c>
      <c r="I22" s="12">
        <f>SUM($E21:I21)</f>
        <v>73500.0</v>
      </c>
      <c r="J22" s="12">
        <f>SUM($E21:J21)</f>
        <v>95820.0</v>
      </c>
      <c r="K22" s="12">
        <f>SUM($E21:K21)</f>
        <v>120542.72738999999</v>
      </c>
    </row>
    <row r="24" spans="1:11">
      <c r="A24" s="6" t="s">
        <v>131</v>
      </c>
      <c r="B24" s="12">
        <f>B2</f>
        <v>79163.16939</v>
      </c>
      <c r="C24" s="12">
        <f>C2</f>
        <v>73500.0</v>
      </c>
      <c r="E24" s="12">
        <f>E2</f>
        <v>10500.0</v>
      </c>
      <c r="F24" s="12">
        <f>F2</f>
        <v>10500.0</v>
      </c>
      <c r="G24" s="12">
        <f>G2</f>
        <v>10500.0</v>
      </c>
      <c r="H24" s="12">
        <f>H2</f>
        <v>10500.0</v>
      </c>
      <c r="I24" s="12">
        <f>I2</f>
        <v>10500.0</v>
      </c>
      <c r="J24" s="12">
        <f>J2</f>
        <v>10500.0</v>
      </c>
      <c r="K24" s="12">
        <f>K2</f>
        <v>10500.0</v>
      </c>
    </row>
    <row r="25" spans="1:11">
      <c r="A25" s="6" t="s">
        <v>132</v>
      </c>
      <c r="B25" s="12">
        <f>B24</f>
        <v>79163.16939</v>
      </c>
      <c r="C25" s="12">
        <f>C24</f>
        <v>73500.0</v>
      </c>
      <c r="E25" s="12">
        <f>SUM($E24:E24)</f>
        <v>10500.0</v>
      </c>
      <c r="F25" s="12">
        <f>SUM($E24:F24)</f>
        <v>21000.0</v>
      </c>
      <c r="G25" s="12">
        <f>SUM($E24:G24)</f>
        <v>31500.0</v>
      </c>
      <c r="H25" s="12">
        <f>SUM($E24:H24)</f>
        <v>42000.0</v>
      </c>
      <c r="I25" s="12">
        <f>SUM($E24:I24)</f>
        <v>52500.0</v>
      </c>
      <c r="J25" s="12">
        <f>SUM($E24:J24)</f>
        <v>63000.0</v>
      </c>
      <c r="K25" s="12">
        <f>SUM($E24:K24)</f>
        <v>73500.0</v>
      </c>
    </row>
    <row r="27" spans="1:11">
      <c r="A27" s="6" t="s">
        <v>133</v>
      </c>
      <c r="B27" s="12">
        <f>B21-B24</f>
        <v>-47042.72738999999</v>
      </c>
      <c r="C27" s="12">
        <f>C21-C24</f>
        <v>47042.727389999985</v>
      </c>
      <c r="E27" s="12">
        <f>E21-E24</f>
        <v>-1260.0</v>
      </c>
      <c r="F27" s="12">
        <f>F21-F24</f>
        <v>1470.0</v>
      </c>
      <c r="G27" s="12">
        <f>G21-G24</f>
        <v>4290.0</v>
      </c>
      <c r="H27" s="12">
        <f>H21-H24</f>
        <v>7200.0</v>
      </c>
      <c r="I27" s="12">
        <f>I21-I24</f>
        <v>9300.0</v>
      </c>
      <c r="J27" s="12">
        <f>J21-J24</f>
        <v>11820.0</v>
      </c>
      <c r="K27" s="12">
        <f>K21-K24</f>
        <v>14222.72738999999</v>
      </c>
    </row>
    <row r="28" spans="1:11">
      <c r="A28" s="6" t="s">
        <v>134</v>
      </c>
      <c r="B28" s="12">
        <f>B27</f>
        <v>-47042.72738999999</v>
      </c>
      <c r="C28" s="12">
        <f>ROUND(B28+C27,2)</f>
        <v>0</v>
      </c>
      <c r="E28" s="12">
        <f>ROUND($B28+SUM($E27:E27),2)</f>
        <v>-48302.73</v>
      </c>
      <c r="F28" s="12">
        <f>ROUND($B28+SUM($E27:F27),2)</f>
        <v>-46832.73</v>
      </c>
      <c r="G28" s="12">
        <f>ROUND($B28+SUM($E27:G27),2)</f>
        <v>-42542.73</v>
      </c>
      <c r="H28" s="12">
        <f>ROUND($B28+SUM($E27:H27),2)</f>
        <v>-35342.73</v>
      </c>
      <c r="I28" s="12">
        <f>ROUND($B28+SUM($E27:I27),2)</f>
        <v>-26042.73</v>
      </c>
      <c r="J28" s="12">
        <f>ROUND($B28+SUM($E27:J27),2)</f>
        <v>-14222.73</v>
      </c>
      <c r="K28" s="12">
        <f>ROUND($B28+SUM($E27:K27),2)</f>
        <v>-0.0</v>
      </c>
    </row>
    <row r="29" spans="1:11">
      <c r="A29" s="6" t="s">
        <v>135</v>
      </c>
      <c r="B29" s="16">
        <f>B21/B24</f>
        <v>0.40574982340281973</v>
      </c>
      <c r="C29" s="16">
        <f>C21/C24</f>
        <v>1.6400371073469386</v>
      </c>
      <c r="E29" s="16">
        <f>E21/E24</f>
        <v>0.88</v>
      </c>
      <c r="F29" s="16">
        <f>F21/F24</f>
        <v>1.14</v>
      </c>
      <c r="G29" s="16">
        <f>G21/G24</f>
        <v>1.4085714285714286</v>
      </c>
      <c r="H29" s="16">
        <f>H21/H24</f>
        <v>1.6857142857142857</v>
      </c>
      <c r="I29" s="16">
        <f>I21/I24</f>
        <v>1.8857142857142857</v>
      </c>
      <c r="J29" s="16">
        <f>J21/J24</f>
        <v>2.125714285714286</v>
      </c>
      <c r="K29" s="16">
        <f>K21/K24</f>
        <v>2.354545465714285</v>
      </c>
    </row>
    <row r="30" spans="1:11">
      <c r="A30" s="6" t="s">
        <v>136</v>
      </c>
      <c r="B30" s="16">
        <f>B22/B25</f>
        <v>0.40574982340281973</v>
      </c>
      <c r="C30" s="16">
        <f>(B22+C22)/(B25+C25)</f>
        <v>1.0</v>
      </c>
      <c r="E30" s="16">
        <f>($B22+E22)/($B25+E25)</f>
        <v>0.4612868614993758</v>
      </c>
      <c r="F30" s="16">
        <f>($B22+F22)/($B25+F25)</f>
        <v>0.5324356480010143</v>
      </c>
      <c r="G30" s="16">
        <f>($B22+G22)/($B25+G25)</f>
        <v>0.6155656156921497</v>
      </c>
      <c r="H30" s="16">
        <f>($B22+H22)/($B25+H25)</f>
        <v>0.7083046971457241</v>
      </c>
      <c r="I30" s="16">
        <f>($B22+I22)/($B25+I25)</f>
        <v>0.8022018799132906</v>
      </c>
      <c r="J30" s="16">
        <f>($B22+J22)/($B25+J25)</f>
        <v>0.8999549077934356</v>
      </c>
      <c r="K30" s="16">
        <f>($B22+K22)/($B25+K25)</f>
        <v>1.0</v>
      </c>
    </row>
    <row r="32" spans="1:11">
      <c r="A32" s="6" t="s">
        <v>94</v>
      </c>
      <c r="B32" s="12">
        <f>'Premissas'!F10</f>
        <v>803618.1826</v>
      </c>
      <c r="C32" s="12">
        <f>'Premissas'!F10</f>
        <v>803618.1826</v>
      </c>
    </row>
    <row r="33" spans="1:11">
      <c r="A33" s="6" t="s">
        <v>137</v>
      </c>
      <c r="B33" s="13" t="str">
        <f>IF(B28&gt;=0,"Já breakevado","Déficit a recuperar")</f>
        <v>Déficit a recuperar</v>
      </c>
      <c r="C33" s="11" t="str">
        <f>IF(C28&gt;=-0.01,"Breakeven atingido","Revisar premissas")</f>
        <v>Breakeven atingido</v>
      </c>
    </row>
    <row r="36" spans="1:11">
      <c r="A36" s="4" t="s">
        <v>138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6" t="s">
        <v>4</v>
      </c>
      <c r="B37" s="14">
        <v>5307</v>
      </c>
      <c r="C37" s="14">
        <f>SUM(E37:K37)</f>
        <v>103774.22523607095</v>
      </c>
      <c r="E37" s="14">
        <f>E39/E38</f>
        <v>10274.896659959479</v>
      </c>
      <c r="F37" s="14">
        <f>F39/F38</f>
        <v>12310.311954660154</v>
      </c>
      <c r="G37" s="14">
        <f>G39/G38</f>
        <v>14101.26429617743</v>
      </c>
      <c r="H37" s="14">
        <f>H39/H38</f>
        <v>15680.088510990505</v>
      </c>
      <c r="I37" s="14">
        <f>I39/I38</f>
        <v>16331.615459382283</v>
      </c>
      <c r="J37" s="14">
        <f>J39/J38</f>
        <v>17367.712343217117</v>
      </c>
      <c r="K37" s="14">
        <f>K39/K38</f>
        <v>17708.336011683976</v>
      </c>
    </row>
    <row r="38" spans="1:11">
      <c r="A38" s="6" t="s">
        <v>139</v>
      </c>
      <c r="B38" s="15">
        <v>0.7957414735255323</v>
      </c>
      <c r="C38" s="15">
        <f>C39/C37</f>
        <v>0.8615906219089421</v>
      </c>
      <c r="E38" s="17">
        <v>0.8</v>
      </c>
      <c r="F38" s="17">
        <v>0.82</v>
      </c>
      <c r="G38" s="17">
        <v>0.84</v>
      </c>
      <c r="H38" s="17">
        <v>0.86</v>
      </c>
      <c r="I38" s="17">
        <v>0.88</v>
      </c>
      <c r="J38" s="17">
        <v>0.89</v>
      </c>
      <c r="K38" s="17">
        <v>0.9</v>
      </c>
    </row>
    <row r="39" spans="1:11">
      <c r="A39" s="6" t="s">
        <v>32</v>
      </c>
      <c r="B39" s="14">
        <v>4223</v>
      </c>
      <c r="C39" s="14">
        <f>SUM(E39:K39)</f>
        <v>89410.899259265</v>
      </c>
      <c r="E39" s="14">
        <f>E41/E40</f>
        <v>8219.917327967583</v>
      </c>
      <c r="F39" s="14">
        <f>F41/F40</f>
        <v>10094.455802821325</v>
      </c>
      <c r="G39" s="14">
        <f>G41/G40</f>
        <v>11845.062008789042</v>
      </c>
      <c r="H39" s="14">
        <f>H41/H40</f>
        <v>13484.876119451834</v>
      </c>
      <c r="I39" s="14">
        <f>I41/I40</f>
        <v>14371.821604256409</v>
      </c>
      <c r="J39" s="14">
        <f>J41/J40</f>
        <v>15457.263985463234</v>
      </c>
      <c r="K39" s="14">
        <f>K41/K40</f>
        <v>15937.502410515577</v>
      </c>
    </row>
    <row r="40" spans="1:11">
      <c r="A40" s="6" t="s">
        <v>140</v>
      </c>
      <c r="B40" s="15">
        <v>0.04428131659957376</v>
      </c>
      <c r="C40" s="15">
        <f>C41/C39</f>
        <v>0.1976399841094575</v>
      </c>
      <c r="E40" s="17">
        <v>0.2078223983124309</v>
      </c>
      <c r="F40" s="17">
        <v>0.2057289470828252</v>
      </c>
      <c r="G40" s="17">
        <v>0.2010021826425649</v>
      </c>
      <c r="H40" s="17">
        <v>0.1969471909234625</v>
      </c>
      <c r="I40" s="17">
        <v>0.1934281137764792</v>
      </c>
      <c r="J40" s="17">
        <v>0.1915679263220921</v>
      </c>
      <c r="K40" s="17">
        <v>0.1950394604059195</v>
      </c>
    </row>
    <row r="41" spans="1:11">
      <c r="A41" s="6" t="s">
        <v>34</v>
      </c>
      <c r="B41" s="14">
        <v>187</v>
      </c>
      <c r="C41" s="14">
        <f>SUM(E41:K41)</f>
        <v>17671.16870881344</v>
      </c>
      <c r="E41" s="14">
        <f>E43/E42</f>
        <v>1708.2829330281315</v>
      </c>
      <c r="F41" s="14">
        <f>F43/F42</f>
        <v>2076.721763688546</v>
      </c>
      <c r="G41" s="14">
        <f>G43/G42</f>
        <v>2380.883317303121</v>
      </c>
      <c r="H41" s="14">
        <f>H43/H42</f>
        <v>2655.8084716769204</v>
      </c>
      <c r="I41" s="14">
        <f>I43/I42</f>
        <v>2779.9143444433707</v>
      </c>
      <c r="J41" s="14">
        <f>J43/J42</f>
        <v>2961.1160083083482</v>
      </c>
      <c r="K41" s="14">
        <f>K43/K42</f>
        <v>3108.4418703650003</v>
      </c>
    </row>
    <row r="42" spans="1:11">
      <c r="A42" s="6" t="s">
        <v>141</v>
      </c>
      <c r="B42" s="15">
        <v>1</v>
      </c>
      <c r="C42" s="15">
        <f>C43/C41</f>
        <v>1.0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</row>
    <row r="43" spans="1:11">
      <c r="A43" s="6" t="s">
        <v>35</v>
      </c>
      <c r="B43" s="14">
        <v>306</v>
      </c>
      <c r="C43" s="14">
        <f>SUM(E43:K43)</f>
        <v>17671.16870881344</v>
      </c>
      <c r="E43" s="14">
        <f>E45/E44</f>
        <v>1708.2829330281315</v>
      </c>
      <c r="F43" s="14">
        <f>F45/F44</f>
        <v>2076.721763688546</v>
      </c>
      <c r="G43" s="14">
        <f>G45/G44</f>
        <v>2380.883317303121</v>
      </c>
      <c r="H43" s="14">
        <f>H45/H44</f>
        <v>2655.8084716769204</v>
      </c>
      <c r="I43" s="14">
        <f>I45/I44</f>
        <v>2779.9143444433707</v>
      </c>
      <c r="J43" s="14">
        <f>J45/J44</f>
        <v>2961.1160083083482</v>
      </c>
      <c r="K43" s="14">
        <f>K45/K44</f>
        <v>3108.4418703650003</v>
      </c>
    </row>
    <row r="44" spans="1:11">
      <c r="A44" s="6" t="s">
        <v>142</v>
      </c>
      <c r="B44" s="15">
        <v>0.7287581699346405</v>
      </c>
      <c r="C44" s="15">
        <f>C45/C43</f>
        <v>0.8984624996530473</v>
      </c>
      <c r="E44" s="17">
        <v>0.897</v>
      </c>
      <c r="F44" s="17">
        <v>0.897</v>
      </c>
      <c r="G44" s="17">
        <v>0.898</v>
      </c>
      <c r="H44" s="17">
        <v>0.898</v>
      </c>
      <c r="I44" s="17">
        <v>0.899</v>
      </c>
      <c r="J44" s="17">
        <v>0.899</v>
      </c>
      <c r="K44" s="17">
        <v>0.9</v>
      </c>
    </row>
    <row r="45" spans="1:11">
      <c r="A45" s="6" t="s">
        <v>37</v>
      </c>
      <c r="B45" s="14">
        <v>223</v>
      </c>
      <c r="C45" s="14">
        <f>SUM(E45:K45)</f>
        <v>15876.882409911233</v>
      </c>
      <c r="E45" s="14">
        <f>E47/E46</f>
        <v>1532.329790926234</v>
      </c>
      <c r="F45" s="14">
        <f>F47/F46</f>
        <v>1862.8194220286261</v>
      </c>
      <c r="G45" s="14">
        <f>G47/G46</f>
        <v>2138.033218938203</v>
      </c>
      <c r="H45" s="14">
        <f>H47/H46</f>
        <v>2384.9160075658747</v>
      </c>
      <c r="I45" s="14">
        <f>I47/I46</f>
        <v>2499.1429956545903</v>
      </c>
      <c r="J45" s="14">
        <f>J47/J46</f>
        <v>2662.043291469205</v>
      </c>
      <c r="K45" s="14">
        <f>K47/K46</f>
        <v>2797.5976833285004</v>
      </c>
    </row>
    <row r="46" spans="1:11">
      <c r="A46" s="6" t="s">
        <v>143</v>
      </c>
      <c r="B46" s="15">
        <v>1</v>
      </c>
      <c r="C46" s="15">
        <f>C47/C45</f>
        <v>0.7185863892256409</v>
      </c>
      <c r="E46" s="17">
        <v>0.6846</v>
      </c>
      <c r="F46" s="17">
        <v>0.695</v>
      </c>
      <c r="G46" s="17">
        <v>0.705</v>
      </c>
      <c r="H46" s="17">
        <v>0.715</v>
      </c>
      <c r="I46" s="17">
        <v>0.725</v>
      </c>
      <c r="J46" s="17">
        <v>0.735</v>
      </c>
      <c r="K46" s="17">
        <v>0.745</v>
      </c>
    </row>
    <row r="47" spans="1:11">
      <c r="A47" s="6" t="s">
        <v>38</v>
      </c>
      <c r="B47" s="14">
        <v>495</v>
      </c>
      <c r="C47" s="14">
        <f>SUM(E47:K47)</f>
        <v>11408.911603098204</v>
      </c>
      <c r="E47" s="14">
        <f>E49/E48</f>
        <v>1049.0329748680997</v>
      </c>
      <c r="F47" s="14">
        <f>F49/F48</f>
        <v>1294.659498309895</v>
      </c>
      <c r="G47" s="14">
        <f>G49/G48</f>
        <v>1507.3134193514331</v>
      </c>
      <c r="H47" s="14">
        <f>H49/H48</f>
        <v>1705.2149454096002</v>
      </c>
      <c r="I47" s="14">
        <f>I49/I48</f>
        <v>1811.878671849578</v>
      </c>
      <c r="J47" s="14">
        <f>J49/J48</f>
        <v>1956.6018192298657</v>
      </c>
      <c r="K47" s="14">
        <f>K49/K48</f>
        <v>2084.2102740797327</v>
      </c>
    </row>
    <row r="48" spans="1:11">
      <c r="A48" s="6" t="s">
        <v>144</v>
      </c>
      <c r="B48" s="15">
        <v>0.6606060606060606</v>
      </c>
      <c r="C48" s="15">
        <f>C49/C47</f>
        <v>0.7027176659389666</v>
      </c>
      <c r="E48" s="17">
        <v>0.6606</v>
      </c>
      <c r="F48" s="17">
        <v>0.675</v>
      </c>
      <c r="G48" s="17">
        <v>0.6899999999999999</v>
      </c>
      <c r="H48" s="17">
        <v>0.7</v>
      </c>
      <c r="I48" s="17">
        <v>0.71</v>
      </c>
      <c r="J48" s="17">
        <v>0.72</v>
      </c>
      <c r="K48" s="17">
        <v>0.73</v>
      </c>
    </row>
    <row r="49" spans="1:11">
      <c r="A49" s="6" t="s">
        <v>40</v>
      </c>
      <c r="B49" s="14">
        <v>327</v>
      </c>
      <c r="C49" s="14">
        <f>SUM(E49:K49)</f>
        <v>8017.243732633164</v>
      </c>
      <c r="E49" s="14">
        <f>E51/E50</f>
        <v>692.9911831978666</v>
      </c>
      <c r="F49" s="14">
        <f>F51/F50</f>
        <v>873.8951613591793</v>
      </c>
      <c r="G49" s="14">
        <f>G51/G50</f>
        <v>1040.0462593524887</v>
      </c>
      <c r="H49" s="14">
        <f>H51/H50</f>
        <v>1193.6504617867201</v>
      </c>
      <c r="I49" s="14">
        <f>I51/I50</f>
        <v>1286.4338570132004</v>
      </c>
      <c r="J49" s="14">
        <f>J51/J50</f>
        <v>1408.7533098455033</v>
      </c>
      <c r="K49" s="14">
        <f>K51/K50</f>
        <v>1521.4735000782048</v>
      </c>
    </row>
    <row r="50" spans="1:11">
      <c r="A50" s="6" t="s">
        <v>145</v>
      </c>
      <c r="B50" s="15">
        <v>0.3425076452599388</v>
      </c>
      <c r="C50" s="15">
        <f>C51/C49</f>
        <v>0.38689354153096983</v>
      </c>
      <c r="E50" s="17">
        <v>0.3599</v>
      </c>
      <c r="F50" s="17">
        <v>0.3648</v>
      </c>
      <c r="G50" s="17">
        <v>0.3737</v>
      </c>
      <c r="H50" s="17">
        <v>0.3845</v>
      </c>
      <c r="I50" s="17">
        <v>0.3938</v>
      </c>
      <c r="J50" s="17">
        <v>0.4</v>
      </c>
      <c r="K50" s="17">
        <v>0.4048</v>
      </c>
    </row>
    <row r="51" spans="1:11">
      <c r="A51" s="6" t="s">
        <v>5</v>
      </c>
      <c r="B51" s="14">
        <v>112</v>
      </c>
      <c r="C51" s="14">
        <f>SUM(E51:K51)</f>
        <v>3101.8198210354167</v>
      </c>
      <c r="E51" s="14">
        <f>E53/E52</f>
        <v>249.4075268329122</v>
      </c>
      <c r="F51" s="14">
        <f>F53/F52</f>
        <v>318.7969548638286</v>
      </c>
      <c r="G51" s="14">
        <f>G53/G52</f>
        <v>388.665287120025</v>
      </c>
      <c r="H51" s="14">
        <f>H53/H52</f>
        <v>458.9586025569939</v>
      </c>
      <c r="I51" s="14">
        <f>I53/I52</f>
        <v>506.5976528917983</v>
      </c>
      <c r="J51" s="14">
        <f>J53/J52</f>
        <v>563.5013239382014</v>
      </c>
      <c r="K51" s="14">
        <f>K53/K52</f>
        <v>615.8924728316573</v>
      </c>
    </row>
    <row r="52" spans="1:11">
      <c r="A52" s="6" t="s">
        <v>146</v>
      </c>
      <c r="B52" s="15">
        <v>0.8928571428571429</v>
      </c>
      <c r="C52" s="15">
        <f>C53/C51</f>
        <v>0.8429596947129407</v>
      </c>
      <c r="E52" s="17">
        <v>0.8327566320645905</v>
      </c>
      <c r="F52" s="17">
        <v>0.8356305267204921</v>
      </c>
      <c r="G52" s="17">
        <v>0.8385044213763937</v>
      </c>
      <c r="H52" s="17">
        <v>0.8413783160322952</v>
      </c>
      <c r="I52" s="17">
        <v>0.8442522106881968</v>
      </c>
      <c r="J52" s="17">
        <v>0.8471261053440984</v>
      </c>
      <c r="K52" s="17">
        <v>0.85</v>
      </c>
    </row>
    <row r="53" spans="1:11">
      <c r="A53" s="6" t="s">
        <v>6</v>
      </c>
      <c r="B53" s="14">
        <v>100</v>
      </c>
      <c r="C53" s="14">
        <f>SUM(E53:K53)</f>
        <v>2614.7090893945633</v>
      </c>
      <c r="E53" s="14">
        <f>E11</f>
        <v>207.69577205693494</v>
      </c>
      <c r="F53" s="14">
        <f>F11</f>
        <v>266.39646730975005</v>
      </c>
      <c r="G53" s="14">
        <f>G11</f>
        <v>325.8975616856665</v>
      </c>
      <c r="H53" s="14">
        <f>H11</f>
        <v>386.157816147939</v>
      </c>
      <c r="I53" s="14">
        <f>I11</f>
        <v>427.6961883833525</v>
      </c>
      <c r="J53" s="14">
        <f>J11</f>
        <v>477.35668190401174</v>
      </c>
      <c r="K53" s="14">
        <f>K11</f>
        <v>523.5086019069087</v>
      </c>
    </row>
    <row r="54" spans="1:11">
      <c r="A54" s="6" t="s">
        <v>147</v>
      </c>
      <c r="B54" s="15">
        <v>0.01884303749764462</v>
      </c>
      <c r="C54" s="15">
        <f>C53/C37</f>
        <v>0.02519613211706942</v>
      </c>
      <c r="E54" s="15">
        <f>E53/E37</f>
        <v>0.02021390374331551</v>
      </c>
      <c r="F54" s="15">
        <f>F53/F37</f>
        <v>0.021640106951871664</v>
      </c>
      <c r="G54" s="15">
        <f>G53/G37</f>
        <v>0.02311122994652407</v>
      </c>
      <c r="H54" s="15">
        <f>H53/H37</f>
        <v>0.024627272727272734</v>
      </c>
      <c r="I54" s="15">
        <f>I53/I37</f>
        <v>0.026188235294117648</v>
      </c>
      <c r="J54" s="15">
        <f>J53/J37</f>
        <v>0.027485294117647063</v>
      </c>
      <c r="K54" s="15">
        <f>K53/K37</f>
        <v>0.029562834224598926</v>
      </c>
    </row>
    <row r="55" spans="1:11">
      <c r="A55" s="6" t="s">
        <v>148</v>
      </c>
      <c r="B55" s="12">
        <v>0.9298714876578105</v>
      </c>
      <c r="C55" s="12">
        <f>C4/C37</f>
        <v>0.33727064615881447</v>
      </c>
      <c r="E55" s="12">
        <f>E4/E37</f>
        <v>0.4866228990394263</v>
      </c>
      <c r="F55" s="12">
        <f>F4/F37</f>
        <v>0.40616354958472156</v>
      </c>
      <c r="G55" s="12">
        <f>G4/G37</f>
        <v>0.35457813533467347</v>
      </c>
      <c r="H55" s="12">
        <f>H4/H37</f>
        <v>0.31887575101986154</v>
      </c>
      <c r="I55" s="12">
        <f>I4/I37</f>
        <v>0.30615464908755063</v>
      </c>
      <c r="J55" s="12">
        <f>J4/J37</f>
        <v>0.28789053510278384</v>
      </c>
      <c r="K55" s="12">
        <f>K4/K37</f>
        <v>0.28235289847114914</v>
      </c>
    </row>
    <row r="56" spans="1:11">
      <c r="A56" s="6" t="s">
        <v>149</v>
      </c>
      <c r="B56" s="12">
        <v>44.06096415178571</v>
      </c>
      <c r="C56" s="12">
        <f>C4/C51</f>
        <v>11.283698609004526</v>
      </c>
      <c r="E56" s="12">
        <f>E4/E51</f>
        <v>20.04751044802948</v>
      </c>
      <c r="F56" s="12">
        <f>F4/F51</f>
        <v>15.683964114825711</v>
      </c>
      <c r="G56" s="12">
        <f>G4/G51</f>
        <v>12.864539658402613</v>
      </c>
      <c r="H56" s="12">
        <f>H4/H51</f>
        <v>10.89422874338453</v>
      </c>
      <c r="I56" s="12">
        <f>I4/I51</f>
        <v>9.869765427176041</v>
      </c>
      <c r="J56" s="12">
        <f>J4/J51</f>
        <v>8.873093615922622</v>
      </c>
      <c r="K56" s="12">
        <f>K4/K51</f>
        <v>8.118300223757819</v>
      </c>
    </row>
    <row r="57" spans="1:11">
      <c r="A57" s="6" t="s">
        <v>150</v>
      </c>
      <c r="B57" s="12">
        <v>49.34827985</v>
      </c>
      <c r="C57" s="12">
        <f>C4/C53</f>
        <v>13.385810353420334</v>
      </c>
      <c r="E57" s="12">
        <f>E4/E53</f>
        <v>24.07367251861712</v>
      </c>
      <c r="F57" s="12">
        <f>F4/F53</f>
        <v>18.76901766188324</v>
      </c>
      <c r="G57" s="12">
        <f>G4/G53</f>
        <v>15.342244274974297</v>
      </c>
      <c r="H57" s="12">
        <f>H4/H53</f>
        <v>12.948074053962628</v>
      </c>
      <c r="I57" s="12">
        <f>I4/I53</f>
        <v>11.690541407206561</v>
      </c>
      <c r="J57" s="12">
        <f>J4/J53</f>
        <v>10.474347986618138</v>
      </c>
      <c r="K57" s="12">
        <f>K4/K53</f>
        <v>9.550941439715082</v>
      </c>
    </row>
    <row r="60" spans="1:11">
      <c r="A60" s="10" t="s">
        <v>151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spans="1:1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1:1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</sheetData>
  <mergeCells count="3">
    <mergeCell ref="A1:K1"/>
    <mergeCell ref="A36:K36"/>
    <mergeCell ref="A60:K62"/>
  </mergeCells>
  <conditionalFormatting sqref="B27:K28">
    <cfRule type="cellIs" dxfId="0" priority="1" operator="lessThan">
      <formula>0</formula>
    </cfRule>
    <cfRule type="cellIs" dxfId="1" priority="2" operator="greaterThanOrEqual">
      <formula>0</formula>
    </cfRule>
  </conditionalFormatting>
  <conditionalFormatting sqref="E6:K6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55A11"/>
  </sheetPr>
  <dimension ref="A1:L43"/>
  <sheetViews>
    <sheetView showGridLines="0" workbookViewId="0">
      <pane xSplit="5" ySplit="2" topLeftCell="F3" activePane="bottomRight" state="frozen"/>
      <selection pane="topRight" activeCell="F1" sqref="F1"/>
      <selection pane="bottomLeft" activeCell="A3" sqref="A3"/>
      <selection pane="bottomRight"/>
    </sheetView>
  </sheetViews>
  <sheetFormatPr defaultRowHeight="15"/>
  <cols>
    <col min="1" max="1" width="38.7109375" customWidth="1"/>
    <col min="2" max="2" width="24.7109375" customWidth="1"/>
    <col min="3" max="4" width="19.7109375" customWidth="1"/>
    <col min="5" max="5" width="3.7109375" customWidth="1"/>
    <col min="6" max="12" width="15.7109375" customWidth="1"/>
  </cols>
  <sheetData>
    <row r="1" spans="1:12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2" customHeight="1">
      <c r="A2" s="5"/>
      <c r="B2" s="5" t="s">
        <v>153</v>
      </c>
      <c r="C2" s="5" t="s">
        <v>154</v>
      </c>
      <c r="D2" s="5" t="s">
        <v>155</v>
      </c>
      <c r="E2" s="8"/>
      <c r="F2" s="5" t="s">
        <v>97</v>
      </c>
      <c r="G2" s="5" t="s">
        <v>98</v>
      </c>
      <c r="H2" s="5" t="s">
        <v>99</v>
      </c>
      <c r="I2" s="5" t="s">
        <v>100</v>
      </c>
      <c r="J2" s="5" t="s">
        <v>101</v>
      </c>
      <c r="K2" s="5" t="s">
        <v>102</v>
      </c>
      <c r="L2" s="5" t="s">
        <v>103</v>
      </c>
    </row>
    <row r="3" spans="1:12">
      <c r="A3" s="6" t="s">
        <v>2</v>
      </c>
      <c r="B3" s="12">
        <v>44000</v>
      </c>
      <c r="C3" s="12">
        <f>'Premissas'!F4</f>
        <v>5500.0</v>
      </c>
      <c r="D3" s="12">
        <f>SUM(F3:L3)</f>
        <v>38500.0</v>
      </c>
      <c r="F3" s="12">
        <f>'Premissas'!F4</f>
        <v>5500.0</v>
      </c>
      <c r="G3" s="12">
        <f>'Premissas'!F4</f>
        <v>5500.0</v>
      </c>
      <c r="H3" s="12">
        <f>'Premissas'!F4</f>
        <v>5500.0</v>
      </c>
      <c r="I3" s="12">
        <f>'Premissas'!F4</f>
        <v>5500.0</v>
      </c>
      <c r="J3" s="12">
        <f>'Premissas'!F4</f>
        <v>5500.0</v>
      </c>
      <c r="K3" s="12">
        <f>'Premissas'!F4</f>
        <v>5500.0</v>
      </c>
      <c r="L3" s="12">
        <f>'Premissas'!F4</f>
        <v>5500.0</v>
      </c>
    </row>
    <row r="4" spans="1:12">
      <c r="A4" s="6" t="s">
        <v>156</v>
      </c>
      <c r="B4" s="12">
        <v>35163.16939</v>
      </c>
      <c r="C4" s="12">
        <f>F4</f>
        <v>5000</v>
      </c>
      <c r="D4" s="12">
        <f>SUM(F4:L4)</f>
        <v>35000</v>
      </c>
      <c r="F4" s="18">
        <v>5000</v>
      </c>
      <c r="G4" s="18">
        <v>5000</v>
      </c>
      <c r="H4" s="18">
        <v>5000</v>
      </c>
      <c r="I4" s="18">
        <v>5000</v>
      </c>
      <c r="J4" s="18">
        <v>5000</v>
      </c>
      <c r="K4" s="18">
        <v>5000</v>
      </c>
      <c r="L4" s="18">
        <v>5000</v>
      </c>
    </row>
    <row r="5" spans="1:12">
      <c r="A5" s="6" t="s">
        <v>157</v>
      </c>
      <c r="B5" s="12">
        <v>79163.16939</v>
      </c>
      <c r="C5" s="12">
        <f>C3+C4</f>
        <v>10500.0</v>
      </c>
      <c r="D5" s="12">
        <f>SUM(F5:L5)</f>
        <v>73500.0</v>
      </c>
      <c r="F5" s="12">
        <f>F3+F4</f>
        <v>10500.0</v>
      </c>
      <c r="G5" s="12">
        <f>G3+G4</f>
        <v>10500.0</v>
      </c>
      <c r="H5" s="12">
        <f>H3+H4</f>
        <v>10500.0</v>
      </c>
      <c r="I5" s="12">
        <f>I3+I4</f>
        <v>10500.0</v>
      </c>
      <c r="J5" s="12">
        <f>J3+J4</f>
        <v>10500.0</v>
      </c>
      <c r="K5" s="12">
        <f>K3+K4</f>
        <v>10500.0</v>
      </c>
      <c r="L5" s="12">
        <f>L3+L4</f>
        <v>10500.0</v>
      </c>
    </row>
    <row r="6" spans="1:12">
      <c r="A6" s="6" t="s">
        <v>7</v>
      </c>
      <c r="B6" s="12">
        <v>214136.28</v>
      </c>
      <c r="C6" s="12">
        <f>C5/C8</f>
        <v>70000.0</v>
      </c>
      <c r="D6" s="12">
        <f>SUM(F6:L6)</f>
        <v>350000</v>
      </c>
      <c r="F6" s="18">
        <v>35000</v>
      </c>
      <c r="G6" s="18">
        <v>40000</v>
      </c>
      <c r="H6" s="18">
        <v>45000</v>
      </c>
      <c r="I6" s="18">
        <v>50000</v>
      </c>
      <c r="J6" s="18">
        <v>55000</v>
      </c>
      <c r="K6" s="18">
        <v>60000</v>
      </c>
      <c r="L6" s="18">
        <v>65000</v>
      </c>
    </row>
    <row r="7" spans="1:12">
      <c r="A7" s="6" t="s">
        <v>79</v>
      </c>
      <c r="B7" s="12">
        <v>296.5876454293629</v>
      </c>
      <c r="C7" s="12">
        <f>F7</f>
        <v>300</v>
      </c>
      <c r="D7" s="12">
        <f>D6/D32</f>
        <v>306.74976869568945</v>
      </c>
      <c r="F7" s="18">
        <v>300</v>
      </c>
      <c r="G7" s="18">
        <v>302</v>
      </c>
      <c r="H7" s="18">
        <v>304</v>
      </c>
      <c r="I7" s="18">
        <v>306</v>
      </c>
      <c r="J7" s="18">
        <v>308</v>
      </c>
      <c r="K7" s="18">
        <v>310</v>
      </c>
      <c r="L7" s="18">
        <v>312</v>
      </c>
    </row>
    <row r="8" spans="1:12">
      <c r="A8" s="6" t="s">
        <v>81</v>
      </c>
      <c r="B8" s="15">
        <v>0.15</v>
      </c>
      <c r="C8" s="15">
        <f>'Premissas'!F7</f>
        <v>0.15</v>
      </c>
      <c r="D8" s="15">
        <f>'Premissas'!F7</f>
        <v>0.15</v>
      </c>
      <c r="F8" s="15">
        <f>'Premissas'!F7</f>
        <v>0.15</v>
      </c>
      <c r="G8" s="15">
        <f>'Premissas'!F7</f>
        <v>0.15</v>
      </c>
      <c r="H8" s="15">
        <f>'Premissas'!F7</f>
        <v>0.15</v>
      </c>
      <c r="I8" s="15">
        <f>'Premissas'!F7</f>
        <v>0.15</v>
      </c>
      <c r="J8" s="15">
        <f>'Premissas'!F7</f>
        <v>0.15</v>
      </c>
      <c r="K8" s="15">
        <f>'Premissas'!F7</f>
        <v>0.15</v>
      </c>
      <c r="L8" s="15">
        <f>'Premissas'!F7</f>
        <v>0.15</v>
      </c>
    </row>
    <row r="9" spans="1:12">
      <c r="A9" s="6" t="s">
        <v>83</v>
      </c>
      <c r="B9" s="12">
        <v>32120.442</v>
      </c>
      <c r="C9" s="12">
        <f>C6*C8</f>
        <v>10500.0</v>
      </c>
      <c r="D9" s="12">
        <f>D6*D8</f>
        <v>52500.0</v>
      </c>
      <c r="F9" s="12">
        <f>F6*F8</f>
        <v>5250.0</v>
      </c>
      <c r="G9" s="12">
        <f>G6*G8</f>
        <v>6000.0</v>
      </c>
      <c r="H9" s="12">
        <f>H6*H8</f>
        <v>6750.0</v>
      </c>
      <c r="I9" s="12">
        <f>I6*I8</f>
        <v>7500.0</v>
      </c>
      <c r="J9" s="12">
        <f>J6*J8</f>
        <v>8250.0</v>
      </c>
      <c r="K9" s="12">
        <f>K6*K8</f>
        <v>9000.0</v>
      </c>
      <c r="L9" s="12">
        <f>L6*L8</f>
        <v>9750.0</v>
      </c>
    </row>
    <row r="10" spans="1:12">
      <c r="A10" s="6" t="s">
        <v>158</v>
      </c>
      <c r="B10" s="12">
        <v>-47042.72738999999</v>
      </c>
      <c r="C10" s="12">
        <f>C9-C5</f>
        <v>0</v>
      </c>
      <c r="D10" s="12">
        <f>D9-D5</f>
        <v>-21000.0</v>
      </c>
      <c r="F10" s="12">
        <f>F9-F5</f>
        <v>-5250.0</v>
      </c>
      <c r="G10" s="12">
        <f>G9-G5</f>
        <v>-4500.0</v>
      </c>
      <c r="H10" s="12">
        <f>H9-H5</f>
        <v>-3750.0</v>
      </c>
      <c r="I10" s="12">
        <f>I9-I5</f>
        <v>-3000.0</v>
      </c>
      <c r="J10" s="12">
        <f>J9-J5</f>
        <v>-2250.0</v>
      </c>
      <c r="K10" s="12">
        <f>K9-K5</f>
        <v>-1500.0</v>
      </c>
      <c r="L10" s="12">
        <f>L9-L5</f>
        <v>-750.0</v>
      </c>
    </row>
    <row r="11" spans="1:12">
      <c r="A11" s="6" t="s">
        <v>159</v>
      </c>
      <c r="B11" s="12">
        <v>-47042.72738999999</v>
      </c>
      <c r="C11" s="12">
        <f>C10</f>
        <v>0</v>
      </c>
      <c r="D11" s="12">
        <f>L11</f>
        <v>-68042.73</v>
      </c>
      <c r="F11" s="12">
        <f>ROUND($B11+F10,2)</f>
        <v>-52292.73</v>
      </c>
      <c r="G11" s="12">
        <f>ROUND(F11+G10,2)</f>
        <v>-56792.73</v>
      </c>
      <c r="H11" s="12">
        <f>ROUND(G11+H10,2)</f>
        <v>-60542.73</v>
      </c>
      <c r="I11" s="12">
        <f>ROUND(H11+I10,2)</f>
        <v>-63542.73</v>
      </c>
      <c r="J11" s="12">
        <f>ROUND(I11+J10,2)</f>
        <v>-65792.73</v>
      </c>
      <c r="K11" s="12">
        <f>ROUND(J11+K10,2)</f>
        <v>-67292.73</v>
      </c>
      <c r="L11" s="12">
        <f>ROUND(K11+L10,2)</f>
        <v>-68042.73</v>
      </c>
    </row>
    <row r="12" spans="1:12">
      <c r="A12" s="6" t="s">
        <v>160</v>
      </c>
      <c r="B12" s="16">
        <v>6.089788938675644</v>
      </c>
      <c r="C12" s="16">
        <f>C6/C4</f>
        <v>14.0</v>
      </c>
      <c r="D12" s="16">
        <f>D6/D4</f>
        <v>10.0</v>
      </c>
      <c r="F12" s="16">
        <f>F6/F4</f>
        <v>7.0</v>
      </c>
      <c r="G12" s="16">
        <f>G6/G4</f>
        <v>8.0</v>
      </c>
      <c r="H12" s="16">
        <f>H6/H4</f>
        <v>9.0</v>
      </c>
      <c r="I12" s="16">
        <f>I6/I4</f>
        <v>10.0</v>
      </c>
      <c r="J12" s="16">
        <f>J6/J4</f>
        <v>11.0</v>
      </c>
      <c r="K12" s="16">
        <f>K6/K4</f>
        <v>12.0</v>
      </c>
      <c r="L12" s="16">
        <f>L6/L4</f>
        <v>13.0</v>
      </c>
    </row>
    <row r="13" spans="1:12">
      <c r="A13" s="6" t="s">
        <v>25</v>
      </c>
      <c r="B13" s="19" t="s">
        <v>161</v>
      </c>
      <c r="C13" s="20" t="s">
        <v>162</v>
      </c>
      <c r="D13" s="19" t="str">
        <f>IF(D11&gt;=0,"BREAKEVEN ATINGIDO","NÃO BREAKEVA")</f>
        <v>NÃO BREAKEVA</v>
      </c>
      <c r="F13" s="19" t="str">
        <f>IF(F11&gt;=0,"BREAKEVEN","EM RECUPERAÇÃO")</f>
        <v>EM RECUPERAÇÃO</v>
      </c>
      <c r="G13" s="19" t="str">
        <f>IF(G11&gt;=0,"BREAKEVEN","EM RECUPERAÇÃO")</f>
        <v>EM RECUPERAÇÃO</v>
      </c>
      <c r="H13" s="19" t="str">
        <f>IF(H11&gt;=0,"BREAKEVEN","EM RECUPERAÇÃO")</f>
        <v>EM RECUPERAÇÃO</v>
      </c>
      <c r="I13" s="19" t="str">
        <f>IF(I11&gt;=0,"BREAKEVEN","EM RECUPERAÇÃO")</f>
        <v>EM RECUPERAÇÃO</v>
      </c>
      <c r="J13" s="19" t="str">
        <f>IF(J11&gt;=0,"BREAKEVEN","EM RECUPERAÇÃO")</f>
        <v>EM RECUPERAÇÃO</v>
      </c>
      <c r="K13" s="19" t="str">
        <f>IF(K11&gt;=0,"BREAKEVEN","EM RECUPERAÇÃO")</f>
        <v>EM RECUPERAÇÃO</v>
      </c>
      <c r="L13" s="19" t="str">
        <f>IF(L11&gt;=0,"BREAKEVEN","EM RECUPERAÇÃO")</f>
        <v>EM RECUPERAÇÃO</v>
      </c>
    </row>
    <row r="15" spans="1:12">
      <c r="A15" s="4" t="s">
        <v>163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6" t="s">
        <v>4</v>
      </c>
      <c r="B16" s="14">
        <v>5307</v>
      </c>
      <c r="C16" s="14">
        <f>C18/C17</f>
        <v>15728.311864987818</v>
      </c>
      <c r="D16" s="14">
        <f>SUM(F16:L16)</f>
        <v>63460.61976559983</v>
      </c>
      <c r="F16" s="14">
        <f>F18/F17</f>
        <v>7864.155932493909</v>
      </c>
      <c r="G16" s="14">
        <f>G18/G17</f>
        <v>8374.27862289824</v>
      </c>
      <c r="H16" s="14">
        <f>H18/H17</f>
        <v>8769.41257784207</v>
      </c>
      <c r="I16" s="14">
        <f>I18/I17</f>
        <v>9077.882001012265</v>
      </c>
      <c r="J16" s="14">
        <f>J18/J17</f>
        <v>9378.276546420051</v>
      </c>
      <c r="K16" s="14">
        <f>K18/K17</f>
        <v>9805.97079119999</v>
      </c>
      <c r="L16" s="14">
        <f>L18/L17</f>
        <v>10190.643293733308</v>
      </c>
    </row>
    <row r="17" spans="1:12">
      <c r="A17" s="6" t="s">
        <v>139</v>
      </c>
      <c r="B17" s="15">
        <v>0.7957414735255323</v>
      </c>
      <c r="C17" s="15">
        <f>F17</f>
        <v>0.8</v>
      </c>
      <c r="D17" s="15">
        <f>D18/D16</f>
        <v>0.8316469600245797</v>
      </c>
      <c r="F17" s="17">
        <v>0.8</v>
      </c>
      <c r="G17" s="17">
        <v>0.8100000000000001</v>
      </c>
      <c r="H17" s="17">
        <v>0.82</v>
      </c>
      <c r="I17" s="17">
        <v>0.83</v>
      </c>
      <c r="J17" s="17">
        <v>0.84</v>
      </c>
      <c r="K17" s="17">
        <v>0.85</v>
      </c>
      <c r="L17" s="17">
        <v>0.86</v>
      </c>
    </row>
    <row r="18" spans="1:12">
      <c r="A18" s="6" t="s">
        <v>32</v>
      </c>
      <c r="B18" s="14">
        <v>4223</v>
      </c>
      <c r="C18" s="14">
        <f>C20/C19</f>
        <v>12582.649491990254</v>
      </c>
      <c r="D18" s="14">
        <f>SUM(F18:L18)</f>
        <v>52776.83150933686</v>
      </c>
      <c r="F18" s="14">
        <f>F20/F19</f>
        <v>6291.324745995127</v>
      </c>
      <c r="G18" s="14">
        <f>G20/G19</f>
        <v>6783.1656845475745</v>
      </c>
      <c r="H18" s="14">
        <f>H20/H19</f>
        <v>7190.918313830496</v>
      </c>
      <c r="I18" s="14">
        <f>I20/I19</f>
        <v>7534.64206084018</v>
      </c>
      <c r="J18" s="14">
        <f>J20/J19</f>
        <v>7877.752298992842</v>
      </c>
      <c r="K18" s="14">
        <f>K20/K19</f>
        <v>8335.075172519992</v>
      </c>
      <c r="L18" s="14">
        <f>L20/L19</f>
        <v>8763.953232610646</v>
      </c>
    </row>
    <row r="19" spans="1:12">
      <c r="A19" s="6" t="s">
        <v>140</v>
      </c>
      <c r="B19" s="15">
        <v>0.04428131659957376</v>
      </c>
      <c r="C19" s="15">
        <f>F19</f>
        <v>0.21874999999999997</v>
      </c>
      <c r="D19" s="15">
        <f>D20/D18</f>
        <v>0.2192241932792805</v>
      </c>
      <c r="F19" s="17">
        <v>0.21875</v>
      </c>
      <c r="G19" s="17">
        <v>0.2191358024691357</v>
      </c>
      <c r="H19" s="17">
        <v>0.2195121951219512</v>
      </c>
      <c r="I19" s="17">
        <v>0.2198795180722891</v>
      </c>
      <c r="J19" s="17">
        <v>0.2202380952380952</v>
      </c>
      <c r="K19" s="17">
        <v>0.2191176470588235</v>
      </c>
      <c r="L19" s="17">
        <v>0.2180232558139535</v>
      </c>
    </row>
    <row r="20" spans="1:12">
      <c r="A20" s="6" t="s">
        <v>34</v>
      </c>
      <c r="B20" s="14">
        <v>187</v>
      </c>
      <c r="C20" s="14">
        <f>C22/C21</f>
        <v>2752.454576372868</v>
      </c>
      <c r="D20" s="14">
        <f>SUM(F20:L20)</f>
        <v>11569.958311470884</v>
      </c>
      <c r="F20" s="14">
        <f>F22/F21</f>
        <v>1376.227288186434</v>
      </c>
      <c r="G20" s="14">
        <f>G22/G21</f>
        <v>1486.4344555644373</v>
      </c>
      <c r="H20" s="14">
        <f>H22/H21</f>
        <v>1578.494264011572</v>
      </c>
      <c r="I20" s="14">
        <f>I22/I21</f>
        <v>1656.7134651847384</v>
      </c>
      <c r="J20" s="14">
        <f>J22/J21</f>
        <v>1734.981161087709</v>
      </c>
      <c r="K20" s="14">
        <f>K22/K21</f>
        <v>1826.362059860998</v>
      </c>
      <c r="L20" s="14">
        <f>L22/L21</f>
        <v>1910.7456175749953</v>
      </c>
    </row>
    <row r="21" spans="1:12">
      <c r="A21" s="6" t="s">
        <v>141</v>
      </c>
      <c r="B21" s="15">
        <v>1</v>
      </c>
      <c r="C21" s="15">
        <f>F21</f>
        <v>0.8</v>
      </c>
      <c r="D21" s="15">
        <f>D22/D20</f>
        <v>0.8</v>
      </c>
      <c r="F21" s="17">
        <v>0.8</v>
      </c>
      <c r="G21" s="17">
        <v>0.8</v>
      </c>
      <c r="H21" s="17">
        <v>0.8</v>
      </c>
      <c r="I21" s="17">
        <v>0.8</v>
      </c>
      <c r="J21" s="17">
        <v>0.8</v>
      </c>
      <c r="K21" s="17">
        <v>0.8</v>
      </c>
      <c r="L21" s="17">
        <v>0.8</v>
      </c>
    </row>
    <row r="22" spans="1:12">
      <c r="A22" s="6" t="s">
        <v>35</v>
      </c>
      <c r="B22" s="14">
        <v>306</v>
      </c>
      <c r="C22" s="14">
        <f>C24/C23</f>
        <v>2201.9636610982943</v>
      </c>
      <c r="D22" s="14">
        <f>SUM(F22:L22)</f>
        <v>9255.966649176708</v>
      </c>
      <c r="F22" s="14">
        <f>F24/F23</f>
        <v>1100.9818305491472</v>
      </c>
      <c r="G22" s="14">
        <f>G24/G23</f>
        <v>1189.14756445155</v>
      </c>
      <c r="H22" s="14">
        <f>H24/H23</f>
        <v>1262.7954112092577</v>
      </c>
      <c r="I22" s="14">
        <f>I24/I23</f>
        <v>1325.3707721477908</v>
      </c>
      <c r="J22" s="14">
        <f>J24/J23</f>
        <v>1387.9849288701673</v>
      </c>
      <c r="K22" s="14">
        <f>K24/K23</f>
        <v>1461.0896478887985</v>
      </c>
      <c r="L22" s="14">
        <f>L24/L23</f>
        <v>1528.5964940599963</v>
      </c>
    </row>
    <row r="23" spans="1:12">
      <c r="A23" s="6" t="s">
        <v>142</v>
      </c>
      <c r="B23" s="15">
        <v>0.7287581699346405</v>
      </c>
      <c r="C23" s="15">
        <f>F23</f>
        <v>0.75</v>
      </c>
      <c r="D23" s="15">
        <f>D24/D22</f>
        <v>0.7796680804344043</v>
      </c>
      <c r="F23" s="17">
        <v>0.75</v>
      </c>
      <c r="G23" s="17">
        <v>0.76</v>
      </c>
      <c r="H23" s="17">
        <v>0.77</v>
      </c>
      <c r="I23" s="17">
        <v>0.78</v>
      </c>
      <c r="J23" s="17">
        <v>0.79</v>
      </c>
      <c r="K23" s="17">
        <v>0.795</v>
      </c>
      <c r="L23" s="17">
        <v>0.8</v>
      </c>
    </row>
    <row r="24" spans="1:12">
      <c r="A24" s="6" t="s">
        <v>37</v>
      </c>
      <c r="B24" s="14">
        <v>223</v>
      </c>
      <c r="C24" s="14">
        <f>C26/C25</f>
        <v>1651.4727458237207</v>
      </c>
      <c r="D24" s="14">
        <f>SUM(F24:L24)</f>
        <v>7216.5817499284685</v>
      </c>
      <c r="F24" s="14">
        <f>F26/F25</f>
        <v>825.7363729118604</v>
      </c>
      <c r="G24" s="14">
        <f>G26/G25</f>
        <v>903.752148983178</v>
      </c>
      <c r="H24" s="14">
        <f>H26/H25</f>
        <v>972.3524666311286</v>
      </c>
      <c r="I24" s="14">
        <f>I26/I25</f>
        <v>1033.789202275277</v>
      </c>
      <c r="J24" s="14">
        <f>J26/J25</f>
        <v>1096.5080938074323</v>
      </c>
      <c r="K24" s="14">
        <f>K26/K25</f>
        <v>1161.5662700715948</v>
      </c>
      <c r="L24" s="14">
        <f>L26/L25</f>
        <v>1222.8771952479972</v>
      </c>
    </row>
    <row r="25" spans="1:12">
      <c r="A25" s="6" t="s">
        <v>143</v>
      </c>
      <c r="B25" s="15">
        <v>1</v>
      </c>
      <c r="C25" s="15">
        <f>F25</f>
        <v>0.7</v>
      </c>
      <c r="D25" s="15">
        <f>D26/D24</f>
        <v>0.7300381704344691</v>
      </c>
      <c r="F25" s="17">
        <v>0.7</v>
      </c>
      <c r="G25" s="17">
        <v>0.71</v>
      </c>
      <c r="H25" s="17">
        <v>0.72</v>
      </c>
      <c r="I25" s="17">
        <v>0.73</v>
      </c>
      <c r="J25" s="17">
        <v>0.74</v>
      </c>
      <c r="K25" s="17">
        <v>0.745</v>
      </c>
      <c r="L25" s="17">
        <v>0.75</v>
      </c>
    </row>
    <row r="26" spans="1:12">
      <c r="A26" s="6" t="s">
        <v>38</v>
      </c>
      <c r="B26" s="14">
        <v>495</v>
      </c>
      <c r="C26" s="14">
        <f>C28/C27</f>
        <v>1156.0309220766044</v>
      </c>
      <c r="D26" s="14">
        <f>SUM(F26:L26)</f>
        <v>5268.380137508559</v>
      </c>
      <c r="F26" s="14">
        <f>F28/F27</f>
        <v>578.0154610383022</v>
      </c>
      <c r="G26" s="14">
        <f>G28/G27</f>
        <v>641.6640257780564</v>
      </c>
      <c r="H26" s="14">
        <f>H28/H27</f>
        <v>700.0937759744126</v>
      </c>
      <c r="I26" s="14">
        <f>I28/I27</f>
        <v>754.6661176609521</v>
      </c>
      <c r="J26" s="14">
        <f>J28/J27</f>
        <v>811.4159894174999</v>
      </c>
      <c r="K26" s="14">
        <f>K28/K27</f>
        <v>865.3668712033382</v>
      </c>
      <c r="L26" s="14">
        <f>L28/L27</f>
        <v>917.1578964359979</v>
      </c>
    </row>
    <row r="27" spans="1:12">
      <c r="A27" s="6" t="s">
        <v>144</v>
      </c>
      <c r="B27" s="15">
        <v>0.6606060606060606</v>
      </c>
      <c r="C27" s="15">
        <f>F27</f>
        <v>0.66</v>
      </c>
      <c r="D27" s="15">
        <f>D28/D26</f>
        <v>0.687967769082461</v>
      </c>
      <c r="F27" s="17">
        <v>0.66</v>
      </c>
      <c r="G27" s="17">
        <v>0.67</v>
      </c>
      <c r="H27" s="17">
        <v>0.68</v>
      </c>
      <c r="I27" s="17">
        <v>0.6899999999999999</v>
      </c>
      <c r="J27" s="17">
        <v>0.695</v>
      </c>
      <c r="K27" s="17">
        <v>0.7</v>
      </c>
      <c r="L27" s="17">
        <v>0.705</v>
      </c>
    </row>
    <row r="28" spans="1:12">
      <c r="A28" s="6" t="s">
        <v>40</v>
      </c>
      <c r="B28" s="14">
        <v>327</v>
      </c>
      <c r="C28" s="14">
        <f>C30/C29</f>
        <v>762.9804085705589</v>
      </c>
      <c r="D28" s="14">
        <f>SUM(F28:L28)</f>
        <v>3624.4757298801123</v>
      </c>
      <c r="F28" s="14">
        <f>F30/F29</f>
        <v>381.49020428527945</v>
      </c>
      <c r="G28" s="14">
        <f>G30/G29</f>
        <v>429.91489727129783</v>
      </c>
      <c r="H28" s="14">
        <f>H30/H29</f>
        <v>476.0637676626006</v>
      </c>
      <c r="I28" s="14">
        <f>I30/I29</f>
        <v>520.7196211860569</v>
      </c>
      <c r="J28" s="14">
        <f>J30/J29</f>
        <v>563.9341126451624</v>
      </c>
      <c r="K28" s="14">
        <f>K30/K29</f>
        <v>605.7568098423367</v>
      </c>
      <c r="L28" s="14">
        <f>L30/L29</f>
        <v>646.5963169873785</v>
      </c>
    </row>
    <row r="29" spans="1:12">
      <c r="A29" s="6" t="s">
        <v>145</v>
      </c>
      <c r="B29" s="15">
        <v>0.3425076452599388</v>
      </c>
      <c r="C29" s="15">
        <f>F29</f>
        <v>0.3425</v>
      </c>
      <c r="D29" s="15">
        <f>D30/D28</f>
        <v>0.3520747382289588</v>
      </c>
      <c r="F29" s="17">
        <v>0.3425</v>
      </c>
      <c r="G29" s="17">
        <v>0.345</v>
      </c>
      <c r="H29" s="17">
        <v>0.348</v>
      </c>
      <c r="I29" s="17">
        <v>0.351</v>
      </c>
      <c r="J29" s="17">
        <v>0.354</v>
      </c>
      <c r="K29" s="17">
        <v>0.357</v>
      </c>
      <c r="L29" s="17">
        <v>0.36</v>
      </c>
    </row>
    <row r="30" spans="1:12">
      <c r="A30" s="6" t="s">
        <v>5</v>
      </c>
      <c r="B30" s="14">
        <v>112</v>
      </c>
      <c r="C30" s="14">
        <f>C32/C31</f>
        <v>261.3207899354164</v>
      </c>
      <c r="D30" s="14">
        <f>SUM(F30:L30)</f>
        <v>1276.0863438147549</v>
      </c>
      <c r="F30" s="14">
        <f>F32/F31</f>
        <v>130.6603949677082</v>
      </c>
      <c r="G30" s="14">
        <f>G32/G31</f>
        <v>148.32063955859775</v>
      </c>
      <c r="H30" s="14">
        <f>H32/H31</f>
        <v>165.67019114658498</v>
      </c>
      <c r="I30" s="14">
        <f>I32/I31</f>
        <v>182.77258703630594</v>
      </c>
      <c r="J30" s="14">
        <f>J32/J31</f>
        <v>199.63267587638748</v>
      </c>
      <c r="K30" s="14">
        <f>K32/K31</f>
        <v>216.2551811137142</v>
      </c>
      <c r="L30" s="14">
        <f>L32/L31</f>
        <v>232.77467411545624</v>
      </c>
    </row>
    <row r="31" spans="1:12">
      <c r="A31" s="6" t="s">
        <v>146</v>
      </c>
      <c r="B31" s="15">
        <v>0.8928571428571429</v>
      </c>
      <c r="C31" s="15">
        <f>F31</f>
        <v>0.8929</v>
      </c>
      <c r="D31" s="15">
        <f>D32/D30</f>
        <v>0.8941363262168067</v>
      </c>
      <c r="F31" s="17">
        <v>0.8929</v>
      </c>
      <c r="G31" s="17">
        <v>0.893</v>
      </c>
      <c r="H31" s="17">
        <v>0.8935</v>
      </c>
      <c r="I31" s="17">
        <v>0.894</v>
      </c>
      <c r="J31" s="17">
        <v>0.8945</v>
      </c>
      <c r="K31" s="17">
        <v>0.895</v>
      </c>
      <c r="L31" s="17">
        <v>0.895</v>
      </c>
    </row>
    <row r="32" spans="1:12">
      <c r="A32" s="6" t="s">
        <v>6</v>
      </c>
      <c r="B32" s="14">
        <v>100</v>
      </c>
      <c r="C32" s="14">
        <f>C6/C7</f>
        <v>233.33333333333334</v>
      </c>
      <c r="D32" s="14">
        <f>SUM(F32:L32)</f>
        <v>1140.9951553939618</v>
      </c>
      <c r="F32" s="14">
        <f>F6/F7</f>
        <v>116.66666666666667</v>
      </c>
      <c r="G32" s="14">
        <f>G6/G7</f>
        <v>132.4503311258278</v>
      </c>
      <c r="H32" s="14">
        <f>H6/H7</f>
        <v>148.02631578947367</v>
      </c>
      <c r="I32" s="14">
        <f>I6/I7</f>
        <v>163.3986928104575</v>
      </c>
      <c r="J32" s="14">
        <f>J6/J7</f>
        <v>178.57142857142858</v>
      </c>
      <c r="K32" s="14">
        <f>K6/K7</f>
        <v>193.5483870967742</v>
      </c>
      <c r="L32" s="14">
        <f>L6/L7</f>
        <v>208.33333333333334</v>
      </c>
    </row>
    <row r="33" spans="1:12">
      <c r="A33" s="6" t="s">
        <v>147</v>
      </c>
      <c r="B33" s="15">
        <v>0.01884303749764462</v>
      </c>
      <c r="C33" s="15">
        <f>C32/C16</f>
        <v>0.014835243307499999</v>
      </c>
      <c r="D33" s="15">
        <f>D32/D16</f>
        <v>0.017979577880083395</v>
      </c>
      <c r="F33" s="15">
        <f>F32/F16</f>
        <v>0.014835243307499999</v>
      </c>
      <c r="G33" s="15">
        <f>G32/G16</f>
        <v>0.015816327243240003</v>
      </c>
      <c r="H33" s="15">
        <f>H32/H16</f>
        <v>0.016879843943423997</v>
      </c>
      <c r="I33" s="15">
        <f>I32/I16</f>
        <v>0.017999649344663995</v>
      </c>
      <c r="J33" s="15">
        <f>J32/J16</f>
        <v>0.019040964263267995</v>
      </c>
      <c r="K33" s="15">
        <f>K32/K16</f>
        <v>0.0197378098729875</v>
      </c>
      <c r="L33" s="15">
        <f>L32/L16</f>
        <v>0.02044359</v>
      </c>
    </row>
    <row r="34" spans="1:12">
      <c r="A34" s="6" t="s">
        <v>148</v>
      </c>
      <c r="B34" s="12">
        <v>0.9298714876578105</v>
      </c>
      <c r="C34" s="12">
        <f>C4/C16</f>
        <v>0.31789807087499994</v>
      </c>
      <c r="D34" s="12">
        <f>D4/D16</f>
        <v>0.5515231355961715</v>
      </c>
      <c r="F34" s="12">
        <f>F4/F16</f>
        <v>0.6357961417499999</v>
      </c>
      <c r="G34" s="12">
        <f>G4/G16</f>
        <v>0.5970663534323101</v>
      </c>
      <c r="H34" s="12">
        <f>H4/H16</f>
        <v>0.5701636176445439</v>
      </c>
      <c r="I34" s="12">
        <f>I4/I16</f>
        <v>0.5507892699467183</v>
      </c>
      <c r="J34" s="12">
        <f>J4/J16</f>
        <v>0.5331469993715038</v>
      </c>
      <c r="K34" s="12">
        <f>K4/K16</f>
        <v>0.5098934217188437</v>
      </c>
      <c r="L34" s="12">
        <f>L4/L16</f>
        <v>0.49064616</v>
      </c>
    </row>
    <row r="35" spans="1:12">
      <c r="A35" s="6" t="s">
        <v>149</v>
      </c>
      <c r="B35" s="12">
        <v>44.06096415178571</v>
      </c>
      <c r="C35" s="12">
        <f>C4/C30</f>
        <v>19.13357142857143</v>
      </c>
      <c r="D35" s="12">
        <f>D4/D30</f>
        <v>27.427611124941897</v>
      </c>
      <c r="F35" s="12">
        <f>F4/F30</f>
        <v>38.26714285714286</v>
      </c>
      <c r="G35" s="12">
        <f>G4/G30</f>
        <v>33.710750000000004</v>
      </c>
      <c r="H35" s="12">
        <f>H4/H30</f>
        <v>30.180444444444444</v>
      </c>
      <c r="I35" s="12">
        <f>I4/I30</f>
        <v>27.3564</v>
      </c>
      <c r="J35" s="12">
        <f>J4/J30</f>
        <v>25.045999999999996</v>
      </c>
      <c r="K35" s="12">
        <f>K4/K30</f>
        <v>23.12083333333333</v>
      </c>
      <c r="L35" s="12">
        <f>L4/L30</f>
        <v>21.48</v>
      </c>
    </row>
    <row r="36" spans="1:12">
      <c r="A36" s="6" t="s">
        <v>150</v>
      </c>
      <c r="B36" s="12">
        <v>49.34827985</v>
      </c>
      <c r="C36" s="12">
        <f>C4/C32</f>
        <v>21.428571428571427</v>
      </c>
      <c r="D36" s="12">
        <f>D4/D32</f>
        <v>30.674976869568944</v>
      </c>
      <c r="F36" s="12">
        <f>F4/F32</f>
        <v>42.857142857142854</v>
      </c>
      <c r="G36" s="12">
        <f>G4/G32</f>
        <v>37.75000000000001</v>
      </c>
      <c r="H36" s="12">
        <f>H4/H32</f>
        <v>33.77777777777778</v>
      </c>
      <c r="I36" s="12">
        <f>I4/I32</f>
        <v>30.6</v>
      </c>
      <c r="J36" s="12">
        <f>J4/J32</f>
        <v>27.999999999999996</v>
      </c>
      <c r="K36" s="12">
        <f>K4/K32</f>
        <v>25.833333333333332</v>
      </c>
      <c r="L36" s="12">
        <f>L4/L32</f>
        <v>24.0</v>
      </c>
    </row>
    <row r="37" spans="1:12">
      <c r="A37" s="6" t="s">
        <v>164</v>
      </c>
      <c r="B37" s="12">
        <v>30112.98</v>
      </c>
      <c r="C37" s="12">
        <f>C32*C7</f>
        <v>70000.0</v>
      </c>
      <c r="D37" s="12">
        <f>D32*D7</f>
        <v>350000</v>
      </c>
      <c r="F37" s="12">
        <f>F32*F7</f>
        <v>35000.0</v>
      </c>
      <c r="G37" s="12">
        <f>G32*G7</f>
        <v>39999.99999999999</v>
      </c>
      <c r="H37" s="12">
        <f>H32*H7</f>
        <v>44999.99999999999</v>
      </c>
      <c r="I37" s="12">
        <f>I32*I7</f>
        <v>49999.99999999999</v>
      </c>
      <c r="J37" s="12">
        <f>J32*J7</f>
        <v>55000.00000000001</v>
      </c>
      <c r="K37" s="12">
        <f>K32*K7</f>
        <v>60000.00000000001</v>
      </c>
      <c r="L37" s="12">
        <f>L32*L7</f>
        <v>65000.0</v>
      </c>
    </row>
    <row r="38" spans="1:12">
      <c r="A38" s="6" t="s">
        <v>165</v>
      </c>
      <c r="B38" s="12">
        <v>0</v>
      </c>
      <c r="C38" s="12">
        <f>ROUND(C37-C6,2)</f>
        <v>0</v>
      </c>
      <c r="D38" s="12">
        <f>ROUND(D37-D6,2)</f>
        <v>0</v>
      </c>
      <c r="F38" s="12">
        <f>ROUND(F37-F6,2)</f>
        <v>0</v>
      </c>
      <c r="G38" s="12">
        <f>ROUND(G37-G6,2)</f>
        <v>0</v>
      </c>
      <c r="H38" s="12">
        <f>ROUND(H37-H6,2)</f>
        <v>0</v>
      </c>
      <c r="I38" s="12">
        <f>ROUND(I37-I6,2)</f>
        <v>0</v>
      </c>
      <c r="J38" s="12">
        <f>ROUND(J37-J6,2)</f>
        <v>0</v>
      </c>
      <c r="K38" s="12">
        <f>ROUND(K37-K6,2)</f>
        <v>0</v>
      </c>
      <c r="L38" s="12">
        <f>ROUND(L37-L6,2)</f>
        <v>0</v>
      </c>
    </row>
    <row r="41" spans="1:12">
      <c r="A41" s="10" t="s">
        <v>166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</sheetData>
  <mergeCells count="3">
    <mergeCell ref="A1:L1"/>
    <mergeCell ref="A15:L15"/>
    <mergeCell ref="A41:L43"/>
  </mergeCells>
  <conditionalFormatting sqref="F11:L11">
    <cfRule type="cellIs" dxfId="0" priority="1" operator="lessThan">
      <formula>0</formula>
    </cfRule>
    <cfRule type="cellIs" dxfId="1" priority="2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L43"/>
  <sheetViews>
    <sheetView showGridLines="0" workbookViewId="0">
      <pane xSplit="5" ySplit="2" topLeftCell="F3" activePane="bottomRight" state="frozen"/>
      <selection pane="topRight" activeCell="F1" sqref="F1"/>
      <selection pane="bottomLeft" activeCell="A3" sqref="A3"/>
      <selection pane="bottomRight"/>
    </sheetView>
  </sheetViews>
  <sheetFormatPr defaultRowHeight="15"/>
  <cols>
    <col min="1" max="1" width="38.7109375" customWidth="1"/>
    <col min="2" max="2" width="24.7109375" customWidth="1"/>
    <col min="3" max="4" width="19.7109375" customWidth="1"/>
    <col min="5" max="5" width="3.7109375" customWidth="1"/>
    <col min="6" max="12" width="15.7109375" customWidth="1"/>
  </cols>
  <sheetData>
    <row r="1" spans="1:12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2" customHeight="1">
      <c r="A2" s="5"/>
      <c r="B2" s="5" t="s">
        <v>153</v>
      </c>
      <c r="C2" s="5" t="s">
        <v>154</v>
      </c>
      <c r="D2" s="5" t="s">
        <v>155</v>
      </c>
      <c r="E2" s="8"/>
      <c r="F2" s="5" t="s">
        <v>97</v>
      </c>
      <c r="G2" s="5" t="s">
        <v>98</v>
      </c>
      <c r="H2" s="5" t="s">
        <v>99</v>
      </c>
      <c r="I2" s="5" t="s">
        <v>100</v>
      </c>
      <c r="J2" s="5" t="s">
        <v>101</v>
      </c>
      <c r="K2" s="5" t="s">
        <v>102</v>
      </c>
      <c r="L2" s="5" t="s">
        <v>103</v>
      </c>
    </row>
    <row r="3" spans="1:12">
      <c r="A3" s="6" t="s">
        <v>2</v>
      </c>
      <c r="B3" s="12">
        <v>44000</v>
      </c>
      <c r="C3" s="12">
        <f>'Premissas'!F4</f>
        <v>5500.0</v>
      </c>
      <c r="D3" s="12">
        <f>SUM(F3:L3)</f>
        <v>38500.0</v>
      </c>
      <c r="F3" s="12">
        <f>'Premissas'!F4</f>
        <v>5500.0</v>
      </c>
      <c r="G3" s="12">
        <f>'Premissas'!F4</f>
        <v>5500.0</v>
      </c>
      <c r="H3" s="12">
        <f>'Premissas'!F4</f>
        <v>5500.0</v>
      </c>
      <c r="I3" s="12">
        <f>'Premissas'!F4</f>
        <v>5500.0</v>
      </c>
      <c r="J3" s="12">
        <f>'Premissas'!F4</f>
        <v>5500.0</v>
      </c>
      <c r="K3" s="12">
        <f>'Premissas'!F4</f>
        <v>5500.0</v>
      </c>
      <c r="L3" s="12">
        <f>'Premissas'!F4</f>
        <v>5500.0</v>
      </c>
    </row>
    <row r="4" spans="1:12">
      <c r="A4" s="6" t="s">
        <v>156</v>
      </c>
      <c r="B4" s="12">
        <v>35163.16939</v>
      </c>
      <c r="C4" s="12">
        <f>F4</f>
        <v>5000</v>
      </c>
      <c r="D4" s="12">
        <f>SUM(F4:L4)</f>
        <v>59000</v>
      </c>
      <c r="F4" s="18">
        <v>5000</v>
      </c>
      <c r="G4" s="18">
        <v>5000</v>
      </c>
      <c r="H4" s="18">
        <v>8000</v>
      </c>
      <c r="I4" s="18">
        <v>8000</v>
      </c>
      <c r="J4" s="18">
        <v>11000</v>
      </c>
      <c r="K4" s="18">
        <v>11000</v>
      </c>
      <c r="L4" s="18">
        <v>11000</v>
      </c>
    </row>
    <row r="5" spans="1:12">
      <c r="A5" s="6" t="s">
        <v>157</v>
      </c>
      <c r="B5" s="12">
        <v>79163.16939</v>
      </c>
      <c r="C5" s="12">
        <f>C3+C4</f>
        <v>10500.0</v>
      </c>
      <c r="D5" s="12">
        <f>SUM(F5:L5)</f>
        <v>97500.0</v>
      </c>
      <c r="F5" s="12">
        <f>F3+F4</f>
        <v>10500.0</v>
      </c>
      <c r="G5" s="12">
        <f>G3+G4</f>
        <v>10500.0</v>
      </c>
      <c r="H5" s="12">
        <f>H3+H4</f>
        <v>13500.0</v>
      </c>
      <c r="I5" s="12">
        <f>I3+I4</f>
        <v>13500.0</v>
      </c>
      <c r="J5" s="12">
        <f>J3+J4</f>
        <v>16500.0</v>
      </c>
      <c r="K5" s="12">
        <f>K3+K4</f>
        <v>16500.0</v>
      </c>
      <c r="L5" s="12">
        <f>L3+L4</f>
        <v>16500.0</v>
      </c>
    </row>
    <row r="6" spans="1:12">
      <c r="A6" s="6" t="s">
        <v>7</v>
      </c>
      <c r="B6" s="12">
        <v>214136.28</v>
      </c>
      <c r="C6" s="12">
        <f>C5/C8</f>
        <v>70000.0</v>
      </c>
      <c r="D6" s="12">
        <f>SUM(F6:L6)</f>
        <v>983000</v>
      </c>
      <c r="F6" s="18">
        <v>55000</v>
      </c>
      <c r="G6" s="18">
        <v>75000</v>
      </c>
      <c r="H6" s="18">
        <v>121000</v>
      </c>
      <c r="I6" s="18">
        <v>146000</v>
      </c>
      <c r="J6" s="18">
        <v>187000</v>
      </c>
      <c r="K6" s="18">
        <v>197000</v>
      </c>
      <c r="L6" s="18">
        <v>202000</v>
      </c>
    </row>
    <row r="7" spans="1:12">
      <c r="A7" s="6" t="s">
        <v>79</v>
      </c>
      <c r="B7" s="12">
        <v>296.5876454293629</v>
      </c>
      <c r="C7" s="12">
        <f>F7</f>
        <v>305</v>
      </c>
      <c r="D7" s="12">
        <f>D6/D32</f>
        <v>317.4514025437219</v>
      </c>
      <c r="F7" s="18">
        <v>305</v>
      </c>
      <c r="G7" s="18">
        <v>308</v>
      </c>
      <c r="H7" s="18">
        <v>312</v>
      </c>
      <c r="I7" s="18">
        <v>315</v>
      </c>
      <c r="J7" s="18">
        <v>318</v>
      </c>
      <c r="K7" s="18">
        <v>322</v>
      </c>
      <c r="L7" s="18">
        <v>325</v>
      </c>
    </row>
    <row r="8" spans="1:12">
      <c r="A8" s="6" t="s">
        <v>81</v>
      </c>
      <c r="B8" s="15">
        <v>0.15</v>
      </c>
      <c r="C8" s="15">
        <f>'Premissas'!F7</f>
        <v>0.15</v>
      </c>
      <c r="D8" s="15">
        <f>'Premissas'!F7</f>
        <v>0.15</v>
      </c>
      <c r="F8" s="15">
        <f>'Premissas'!F7</f>
        <v>0.15</v>
      </c>
      <c r="G8" s="15">
        <f>'Premissas'!F7</f>
        <v>0.15</v>
      </c>
      <c r="H8" s="15">
        <f>'Premissas'!F7</f>
        <v>0.15</v>
      </c>
      <c r="I8" s="15">
        <f>'Premissas'!F7</f>
        <v>0.15</v>
      </c>
      <c r="J8" s="15">
        <f>'Premissas'!F7</f>
        <v>0.15</v>
      </c>
      <c r="K8" s="15">
        <f>'Premissas'!F7</f>
        <v>0.15</v>
      </c>
      <c r="L8" s="15">
        <f>'Premissas'!F7</f>
        <v>0.15</v>
      </c>
    </row>
    <row r="9" spans="1:12">
      <c r="A9" s="6" t="s">
        <v>83</v>
      </c>
      <c r="B9" s="12">
        <v>32120.442</v>
      </c>
      <c r="C9" s="12">
        <f>C6*C8</f>
        <v>10500.0</v>
      </c>
      <c r="D9" s="12">
        <f>D6*D8</f>
        <v>147450.0</v>
      </c>
      <c r="F9" s="12">
        <f>F6*F8</f>
        <v>8250.0</v>
      </c>
      <c r="G9" s="12">
        <f>G6*G8</f>
        <v>11250.0</v>
      </c>
      <c r="H9" s="12">
        <f>H6*H8</f>
        <v>18150.0</v>
      </c>
      <c r="I9" s="12">
        <f>I6*I8</f>
        <v>21900.0</v>
      </c>
      <c r="J9" s="12">
        <f>J6*J8</f>
        <v>28050.0</v>
      </c>
      <c r="K9" s="12">
        <f>K6*K8</f>
        <v>29550.0</v>
      </c>
      <c r="L9" s="12">
        <f>L6*L8</f>
        <v>30300.0</v>
      </c>
    </row>
    <row r="10" spans="1:12">
      <c r="A10" s="6" t="s">
        <v>158</v>
      </c>
      <c r="B10" s="12">
        <v>-47042.72738999999</v>
      </c>
      <c r="C10" s="12">
        <f>C9-C5</f>
        <v>0</v>
      </c>
      <c r="D10" s="12">
        <f>D9-D5</f>
        <v>49950.0</v>
      </c>
      <c r="F10" s="12">
        <f>F9-F5</f>
        <v>-2250.0</v>
      </c>
      <c r="G10" s="12">
        <f>G9-G5</f>
        <v>750.0</v>
      </c>
      <c r="H10" s="12">
        <f>H9-H5</f>
        <v>4650.0</v>
      </c>
      <c r="I10" s="12">
        <f>I9-I5</f>
        <v>8400.0</v>
      </c>
      <c r="J10" s="12">
        <f>J9-J5</f>
        <v>11550.0</v>
      </c>
      <c r="K10" s="12">
        <f>K9-K5</f>
        <v>13050.0</v>
      </c>
      <c r="L10" s="12">
        <f>L9-L5</f>
        <v>13800.0</v>
      </c>
    </row>
    <row r="11" spans="1:12">
      <c r="A11" s="6" t="s">
        <v>159</v>
      </c>
      <c r="B11" s="12">
        <v>-47042.72738999999</v>
      </c>
      <c r="C11" s="12">
        <f>C10</f>
        <v>0</v>
      </c>
      <c r="D11" s="12">
        <f>L11</f>
        <v>2907.27</v>
      </c>
      <c r="F11" s="12">
        <f>ROUND($B11+F10,2)</f>
        <v>-49292.73</v>
      </c>
      <c r="G11" s="12">
        <f>ROUND(F11+G10,2)</f>
        <v>-48542.73</v>
      </c>
      <c r="H11" s="12">
        <f>ROUND(G11+H10,2)</f>
        <v>-43892.73</v>
      </c>
      <c r="I11" s="12">
        <f>ROUND(H11+I10,2)</f>
        <v>-35492.73</v>
      </c>
      <c r="J11" s="12">
        <f>ROUND(I11+J10,2)</f>
        <v>-23942.73</v>
      </c>
      <c r="K11" s="12">
        <f>ROUND(J11+K10,2)</f>
        <v>-10892.73</v>
      </c>
      <c r="L11" s="12">
        <f>ROUND(K11+L10,2)</f>
        <v>2907.27</v>
      </c>
    </row>
    <row r="12" spans="1:12">
      <c r="A12" s="6" t="s">
        <v>160</v>
      </c>
      <c r="B12" s="16">
        <v>6.089788938675644</v>
      </c>
      <c r="C12" s="16">
        <f>C6/C4</f>
        <v>14.0</v>
      </c>
      <c r="D12" s="16">
        <f>D6/D4</f>
        <v>16.661016949152543</v>
      </c>
      <c r="F12" s="16">
        <f>F6/F4</f>
        <v>11.0</v>
      </c>
      <c r="G12" s="16">
        <f>G6/G4</f>
        <v>15.0</v>
      </c>
      <c r="H12" s="16">
        <f>H6/H4</f>
        <v>15.125</v>
      </c>
      <c r="I12" s="16">
        <f>I6/I4</f>
        <v>18.25</v>
      </c>
      <c r="J12" s="16">
        <f>J6/J4</f>
        <v>17.0</v>
      </c>
      <c r="K12" s="16">
        <f>K6/K4</f>
        <v>17.90909090909091</v>
      </c>
      <c r="L12" s="16">
        <f>L6/L4</f>
        <v>18.363636363636363</v>
      </c>
    </row>
    <row r="13" spans="1:12">
      <c r="A13" s="6" t="s">
        <v>25</v>
      </c>
      <c r="B13" s="19" t="s">
        <v>161</v>
      </c>
      <c r="C13" s="20" t="s">
        <v>162</v>
      </c>
      <c r="D13" s="20" t="str">
        <f>IF(D11&gt;=0,"BREAKEVEN ATINGIDO","NÃO BREAKEVA")</f>
        <v>BREAKEVEN ATINGIDO</v>
      </c>
      <c r="F13" s="19" t="str">
        <f>IF(F11&gt;=0,"BREAKEVEN","EM RECUPERAÇÃO")</f>
        <v>EM RECUPERAÇÃO</v>
      </c>
      <c r="G13" s="19" t="str">
        <f>IF(G11&gt;=0,"BREAKEVEN","EM RECUPERAÇÃO")</f>
        <v>EM RECUPERAÇÃO</v>
      </c>
      <c r="H13" s="19" t="str">
        <f>IF(H11&gt;=0,"BREAKEVEN","EM RECUPERAÇÃO")</f>
        <v>EM RECUPERAÇÃO</v>
      </c>
      <c r="I13" s="19" t="str">
        <f>IF(I11&gt;=0,"BREAKEVEN","EM RECUPERAÇÃO")</f>
        <v>EM RECUPERAÇÃO</v>
      </c>
      <c r="J13" s="19" t="str">
        <f>IF(J11&gt;=0,"BREAKEVEN","EM RECUPERAÇÃO")</f>
        <v>EM RECUPERAÇÃO</v>
      </c>
      <c r="K13" s="19" t="str">
        <f>IF(K11&gt;=0,"BREAKEVEN","EM RECUPERAÇÃO")</f>
        <v>EM RECUPERAÇÃO</v>
      </c>
      <c r="L13" s="20" t="str">
        <f>IF(L11&gt;=0,"BREAKEVEN","EM RECUPERAÇÃO")</f>
        <v>BREAKEVEN</v>
      </c>
    </row>
    <row r="15" spans="1:12">
      <c r="A15" s="4" t="s">
        <v>163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6" t="s">
        <v>4</v>
      </c>
      <c r="B16" s="14">
        <v>5307</v>
      </c>
      <c r="C16" s="14">
        <f>C18/C17</f>
        <v>11590.117797437219</v>
      </c>
      <c r="D16" s="14">
        <f>SUM(F16:L16)</f>
        <v>124779.65706287035</v>
      </c>
      <c r="F16" s="14">
        <f>F18/F17</f>
        <v>9106.521126557815</v>
      </c>
      <c r="G16" s="14">
        <f>G18/G17</f>
        <v>11597.00240311607</v>
      </c>
      <c r="H16" s="14">
        <f>H18/H17</f>
        <v>17236.511676193906</v>
      </c>
      <c r="I16" s="14">
        <f>I18/I17</f>
        <v>19311.936802372544</v>
      </c>
      <c r="J16" s="14">
        <f>J18/J17</f>
        <v>23060.338944166026</v>
      </c>
      <c r="K16" s="14">
        <f>K18/K17</f>
        <v>22658.826409052526</v>
      </c>
      <c r="L16" s="14">
        <f>L18/L17</f>
        <v>21808.519701411467</v>
      </c>
    </row>
    <row r="17" spans="1:12">
      <c r="A17" s="6" t="s">
        <v>139</v>
      </c>
      <c r="B17" s="15">
        <v>0.7957414735255323</v>
      </c>
      <c r="C17" s="15">
        <f>F17</f>
        <v>0.8</v>
      </c>
      <c r="D17" s="15">
        <f>D18/D16</f>
        <v>0.8652757859531356</v>
      </c>
      <c r="F17" s="17">
        <v>0.8</v>
      </c>
      <c r="G17" s="17">
        <v>0.82</v>
      </c>
      <c r="H17" s="17">
        <v>0.84</v>
      </c>
      <c r="I17" s="17">
        <v>0.86</v>
      </c>
      <c r="J17" s="17">
        <v>0.88</v>
      </c>
      <c r="K17" s="17">
        <v>0.89</v>
      </c>
      <c r="L17" s="17">
        <v>0.9</v>
      </c>
    </row>
    <row r="18" spans="1:12">
      <c r="A18" s="6" t="s">
        <v>32</v>
      </c>
      <c r="B18" s="14">
        <v>4223</v>
      </c>
      <c r="C18" s="14">
        <f>C20/C19</f>
        <v>9272.094237949776</v>
      </c>
      <c r="D18" s="14">
        <f>SUM(F18:L18)</f>
        <v>107968.81583603787</v>
      </c>
      <c r="F18" s="14">
        <f>F20/F19</f>
        <v>7285.216901246252</v>
      </c>
      <c r="G18" s="14">
        <f>G20/G19</f>
        <v>9509.541970555178</v>
      </c>
      <c r="H18" s="14">
        <f>H20/H19</f>
        <v>14478.66980800288</v>
      </c>
      <c r="I18" s="14">
        <f>I20/I19</f>
        <v>16608.265650040386</v>
      </c>
      <c r="J18" s="14">
        <f>J20/J19</f>
        <v>20293.098270866103</v>
      </c>
      <c r="K18" s="14">
        <f>K20/K19</f>
        <v>20166.355504056748</v>
      </c>
      <c r="L18" s="14">
        <f>L20/L19</f>
        <v>19627.66773127032</v>
      </c>
    </row>
    <row r="19" spans="1:12">
      <c r="A19" s="6" t="s">
        <v>140</v>
      </c>
      <c r="B19" s="15">
        <v>0.04428131659957376</v>
      </c>
      <c r="C19" s="15">
        <f>F19</f>
        <v>0.22338235294117648</v>
      </c>
      <c r="D19" s="15">
        <f>D20/D18</f>
        <v>0.2121774468332895</v>
      </c>
      <c r="F19" s="17">
        <v>0.2233823529411765</v>
      </c>
      <c r="G19" s="17">
        <v>0.2195121951219512</v>
      </c>
      <c r="H19" s="17">
        <v>0.2156862745098039</v>
      </c>
      <c r="I19" s="17">
        <v>0.2120383036935705</v>
      </c>
      <c r="J19" s="17">
        <v>0.2085561497326203</v>
      </c>
      <c r="K19" s="17">
        <v>0.2088565763384005</v>
      </c>
      <c r="L19" s="17">
        <v>0.2091503267973856</v>
      </c>
    </row>
    <row r="20" spans="1:12">
      <c r="A20" s="6" t="s">
        <v>34</v>
      </c>
      <c r="B20" s="14">
        <v>187</v>
      </c>
      <c r="C20" s="14">
        <f>C22/C21</f>
        <v>2071.2222275655454</v>
      </c>
      <c r="D20" s="14">
        <f>SUM(F20:L20)</f>
        <v>22908.547681704153</v>
      </c>
      <c r="F20" s="14">
        <f>F22/F21</f>
        <v>1627.3888930872142</v>
      </c>
      <c r="G20" s="14">
        <f>G22/G21</f>
        <v>2087.4604325608925</v>
      </c>
      <c r="H20" s="14">
        <f>H22/H21</f>
        <v>3122.8503507457194</v>
      </c>
      <c r="I20" s="14">
        <f>I22/I21</f>
        <v>3521.5884757267577</v>
      </c>
      <c r="J20" s="14">
        <f>J22/J21</f>
        <v>4232.25044151753</v>
      </c>
      <c r="K20" s="14">
        <f>K22/K21</f>
        <v>4211.875967800353</v>
      </c>
      <c r="L20" s="14">
        <f>L22/L21</f>
        <v>4105.133120265688</v>
      </c>
    </row>
    <row r="21" spans="1:12">
      <c r="A21" s="6" t="s">
        <v>141</v>
      </c>
      <c r="B21" s="15">
        <v>1</v>
      </c>
      <c r="C21" s="15">
        <f>F21</f>
        <v>0.85</v>
      </c>
      <c r="D21" s="15">
        <f>D22/D20</f>
        <v>0.85</v>
      </c>
      <c r="F21" s="17">
        <v>0.85</v>
      </c>
      <c r="G21" s="17">
        <v>0.85</v>
      </c>
      <c r="H21" s="17">
        <v>0.85</v>
      </c>
      <c r="I21" s="17">
        <v>0.85</v>
      </c>
      <c r="J21" s="17">
        <v>0.85</v>
      </c>
      <c r="K21" s="17">
        <v>0.85</v>
      </c>
      <c r="L21" s="17">
        <v>0.85</v>
      </c>
    </row>
    <row r="22" spans="1:12">
      <c r="A22" s="6" t="s">
        <v>35</v>
      </c>
      <c r="B22" s="14">
        <v>306</v>
      </c>
      <c r="C22" s="14">
        <f>C24/C23</f>
        <v>1760.5388934307134</v>
      </c>
      <c r="D22" s="14">
        <f>SUM(F22:L22)</f>
        <v>19472.26552944853</v>
      </c>
      <c r="F22" s="14">
        <f>F24/F23</f>
        <v>1383.280559124132</v>
      </c>
      <c r="G22" s="14">
        <f>G24/G23</f>
        <v>1774.3413676767584</v>
      </c>
      <c r="H22" s="14">
        <f>H24/H23</f>
        <v>2654.4227981338613</v>
      </c>
      <c r="I22" s="14">
        <f>I24/I23</f>
        <v>2993.350204367744</v>
      </c>
      <c r="J22" s="14">
        <f>J24/J23</f>
        <v>3597.4128752899</v>
      </c>
      <c r="K22" s="14">
        <f>K24/K23</f>
        <v>3580.0945726303</v>
      </c>
      <c r="L22" s="14">
        <f>L24/L23</f>
        <v>3489.3631522258347</v>
      </c>
    </row>
    <row r="23" spans="1:12">
      <c r="A23" s="6" t="s">
        <v>142</v>
      </c>
      <c r="B23" s="15">
        <v>0.7287581699346405</v>
      </c>
      <c r="C23" s="15">
        <f>F23</f>
        <v>0.897</v>
      </c>
      <c r="D23" s="15">
        <f>D24/D22</f>
        <v>0.8985648347291144</v>
      </c>
      <c r="F23" s="17">
        <v>0.897</v>
      </c>
      <c r="G23" s="17">
        <v>0.897</v>
      </c>
      <c r="H23" s="17">
        <v>0.898</v>
      </c>
      <c r="I23" s="17">
        <v>0.898</v>
      </c>
      <c r="J23" s="17">
        <v>0.899</v>
      </c>
      <c r="K23" s="17">
        <v>0.899</v>
      </c>
      <c r="L23" s="17">
        <v>0.9</v>
      </c>
    </row>
    <row r="24" spans="1:12">
      <c r="A24" s="6" t="s">
        <v>37</v>
      </c>
      <c r="B24" s="14">
        <v>223</v>
      </c>
      <c r="C24" s="14">
        <f>C26/C25</f>
        <v>1579.20338740735</v>
      </c>
      <c r="D24" s="14">
        <f>SUM(F24:L24)</f>
        <v>17497.09305727035</v>
      </c>
      <c r="F24" s="14">
        <f>F26/F25</f>
        <v>1240.8026615343465</v>
      </c>
      <c r="G24" s="14">
        <f>G26/G25</f>
        <v>1591.5842068060524</v>
      </c>
      <c r="H24" s="14">
        <f>H26/H25</f>
        <v>2383.6716727242074</v>
      </c>
      <c r="I24" s="14">
        <f>I26/I25</f>
        <v>2688.028483522234</v>
      </c>
      <c r="J24" s="14">
        <f>J26/J25</f>
        <v>3234.0741748856203</v>
      </c>
      <c r="K24" s="14">
        <f>K26/K25</f>
        <v>3218.5050207946397</v>
      </c>
      <c r="L24" s="14">
        <f>L26/L25</f>
        <v>3140.4268370032514</v>
      </c>
    </row>
    <row r="25" spans="1:12">
      <c r="A25" s="6" t="s">
        <v>143</v>
      </c>
      <c r="B25" s="15">
        <v>1</v>
      </c>
      <c r="C25" s="15">
        <f>F25</f>
        <v>0.6846</v>
      </c>
      <c r="D25" s="15">
        <f>D26/D24</f>
        <v>0.7205743457031174</v>
      </c>
      <c r="F25" s="17">
        <v>0.6846</v>
      </c>
      <c r="G25" s="17">
        <v>0.695</v>
      </c>
      <c r="H25" s="17">
        <v>0.705</v>
      </c>
      <c r="I25" s="17">
        <v>0.715</v>
      </c>
      <c r="J25" s="17">
        <v>0.725</v>
      </c>
      <c r="K25" s="17">
        <v>0.735</v>
      </c>
      <c r="L25" s="17">
        <v>0.745</v>
      </c>
    </row>
    <row r="26" spans="1:12">
      <c r="A26" s="6" t="s">
        <v>38</v>
      </c>
      <c r="B26" s="14">
        <v>495</v>
      </c>
      <c r="C26" s="14">
        <f>C28/C27</f>
        <v>1081.1226390190718</v>
      </c>
      <c r="D26" s="14">
        <f>SUM(F26:L26)</f>
        <v>12607.956381449141</v>
      </c>
      <c r="F26" s="14">
        <f>F28/F27</f>
        <v>849.4535020864136</v>
      </c>
      <c r="G26" s="14">
        <f>G28/G27</f>
        <v>1106.1510237302064</v>
      </c>
      <c r="H26" s="14">
        <f>H28/H27</f>
        <v>1680.488529270566</v>
      </c>
      <c r="I26" s="14">
        <f>I28/I27</f>
        <v>1921.9403657183973</v>
      </c>
      <c r="J26" s="14">
        <f>J28/J27</f>
        <v>2344.7037767920747</v>
      </c>
      <c r="K26" s="14">
        <f>K28/K27</f>
        <v>2365.60119028406</v>
      </c>
      <c r="L26" s="14">
        <f>L28/L27</f>
        <v>2339.617993567422</v>
      </c>
    </row>
    <row r="27" spans="1:12">
      <c r="A27" s="6" t="s">
        <v>144</v>
      </c>
      <c r="B27" s="15">
        <v>0.6606060606060606</v>
      </c>
      <c r="C27" s="15">
        <f>F27</f>
        <v>0.6606</v>
      </c>
      <c r="D27" s="15">
        <f>D28/D26</f>
        <v>0.7049984684754448</v>
      </c>
      <c r="F27" s="17">
        <v>0.6606</v>
      </c>
      <c r="G27" s="17">
        <v>0.675</v>
      </c>
      <c r="H27" s="17">
        <v>0.6899999999999999</v>
      </c>
      <c r="I27" s="17">
        <v>0.7</v>
      </c>
      <c r="J27" s="17">
        <v>0.71</v>
      </c>
      <c r="K27" s="17">
        <v>0.72</v>
      </c>
      <c r="L27" s="17">
        <v>0.73</v>
      </c>
    </row>
    <row r="28" spans="1:12">
      <c r="A28" s="6" t="s">
        <v>40</v>
      </c>
      <c r="B28" s="14">
        <v>327</v>
      </c>
      <c r="C28" s="14">
        <f>C30/C29</f>
        <v>714.1896153359988</v>
      </c>
      <c r="D28" s="14">
        <f>SUM(F28:L28)</f>
        <v>8888.589939526855</v>
      </c>
      <c r="F28" s="14">
        <f>F30/F29</f>
        <v>561.1489834782848</v>
      </c>
      <c r="G28" s="14">
        <f>G30/G29</f>
        <v>746.6519410178894</v>
      </c>
      <c r="H28" s="14">
        <f>H30/H29</f>
        <v>1159.5370851966904</v>
      </c>
      <c r="I28" s="14">
        <f>I30/I29</f>
        <v>1345.358256002878</v>
      </c>
      <c r="J28" s="14">
        <f>J30/J29</f>
        <v>1664.7396815223728</v>
      </c>
      <c r="K28" s="14">
        <f>K30/K29</f>
        <v>1703.2328570045233</v>
      </c>
      <c r="L28" s="14">
        <f>L30/L29</f>
        <v>1707.921135304218</v>
      </c>
    </row>
    <row r="29" spans="1:12">
      <c r="A29" s="6" t="s">
        <v>145</v>
      </c>
      <c r="B29" s="15">
        <v>0.3425076452599388</v>
      </c>
      <c r="C29" s="15">
        <f>F29</f>
        <v>0.3599</v>
      </c>
      <c r="D29" s="15">
        <f>D30/D28</f>
        <v>0.38849576072901304</v>
      </c>
      <c r="F29" s="17">
        <v>0.3599</v>
      </c>
      <c r="G29" s="17">
        <v>0.3648</v>
      </c>
      <c r="H29" s="17">
        <v>0.3737</v>
      </c>
      <c r="I29" s="17">
        <v>0.3845</v>
      </c>
      <c r="J29" s="17">
        <v>0.3938</v>
      </c>
      <c r="K29" s="17">
        <v>0.4</v>
      </c>
      <c r="L29" s="17">
        <v>0.4048</v>
      </c>
    </row>
    <row r="30" spans="1:12">
      <c r="A30" s="6" t="s">
        <v>5</v>
      </c>
      <c r="B30" s="14">
        <v>112</v>
      </c>
      <c r="C30" s="14">
        <f>C32/C31</f>
        <v>257.03684255942596</v>
      </c>
      <c r="D30" s="14">
        <f>SUM(F30:L30)</f>
        <v>3453.179510364738</v>
      </c>
      <c r="F30" s="14">
        <f>F32/F31</f>
        <v>201.9575191538347</v>
      </c>
      <c r="G30" s="14">
        <f>G32/G31</f>
        <v>272.3786280833261</v>
      </c>
      <c r="H30" s="14">
        <f>H32/H31</f>
        <v>433.31900873800316</v>
      </c>
      <c r="I30" s="14">
        <f>I32/I31</f>
        <v>517.2902494331066</v>
      </c>
      <c r="J30" s="14">
        <f>J32/J31</f>
        <v>655.5744865835104</v>
      </c>
      <c r="K30" s="14">
        <f>K32/K31</f>
        <v>681.2931428018094</v>
      </c>
      <c r="L30" s="14">
        <f>L32/L31</f>
        <v>691.3664755711475</v>
      </c>
    </row>
    <row r="31" spans="1:12">
      <c r="A31" s="6" t="s">
        <v>146</v>
      </c>
      <c r="B31" s="15">
        <v>0.8928571428571429</v>
      </c>
      <c r="C31" s="15">
        <f>F31</f>
        <v>0.8929</v>
      </c>
      <c r="D31" s="15">
        <f>D32/D30</f>
        <v>0.8967205288972528</v>
      </c>
      <c r="F31" s="17">
        <v>0.8929</v>
      </c>
      <c r="G31" s="17">
        <v>0.894</v>
      </c>
      <c r="H31" s="17">
        <v>0.895</v>
      </c>
      <c r="I31" s="17">
        <v>0.896</v>
      </c>
      <c r="J31" s="17">
        <v>0.897</v>
      </c>
      <c r="K31" s="17">
        <v>0.898</v>
      </c>
      <c r="L31" s="17">
        <v>0.899</v>
      </c>
    </row>
    <row r="32" spans="1:12">
      <c r="A32" s="6" t="s">
        <v>6</v>
      </c>
      <c r="B32" s="14">
        <v>100</v>
      </c>
      <c r="C32" s="14">
        <f>C6/C7</f>
        <v>229.50819672131146</v>
      </c>
      <c r="D32" s="14">
        <f>SUM(F32:L32)</f>
        <v>3096.536956911424</v>
      </c>
      <c r="F32" s="14">
        <f>F6/F7</f>
        <v>180.327868852459</v>
      </c>
      <c r="G32" s="14">
        <f>G6/G7</f>
        <v>243.5064935064935</v>
      </c>
      <c r="H32" s="14">
        <f>H6/H7</f>
        <v>387.8205128205128</v>
      </c>
      <c r="I32" s="14">
        <f>I6/I7</f>
        <v>463.4920634920635</v>
      </c>
      <c r="J32" s="14">
        <f>J6/J7</f>
        <v>588.0503144654089</v>
      </c>
      <c r="K32" s="14">
        <f>K6/K7</f>
        <v>611.8012422360248</v>
      </c>
      <c r="L32" s="14">
        <f>L6/L7</f>
        <v>621.5384615384615</v>
      </c>
    </row>
    <row r="33" spans="1:12">
      <c r="A33" s="6" t="s">
        <v>147</v>
      </c>
      <c r="B33" s="15">
        <v>0.01884303749764462</v>
      </c>
      <c r="C33" s="15">
        <f>C32/C16</f>
        <v>0.019802059024116202</v>
      </c>
      <c r="D33" s="15">
        <f>D32/D16</f>
        <v>0.02481603996836785</v>
      </c>
      <c r="F33" s="15">
        <f>F32/F16</f>
        <v>0.019802059024116202</v>
      </c>
      <c r="G33" s="15">
        <f>G32/G16</f>
        <v>0.020997365098507203</v>
      </c>
      <c r="H33" s="15">
        <f>H32/H16</f>
        <v>0.022499941989779088</v>
      </c>
      <c r="I33" s="15">
        <f>I32/I16</f>
        <v>0.024000288952639993</v>
      </c>
      <c r="J33" s="15">
        <f>J32/J16</f>
        <v>0.0255005061239214</v>
      </c>
      <c r="K33" s="15">
        <f>K32/K16</f>
        <v>0.027000570602880008</v>
      </c>
      <c r="L33" s="15">
        <f>L32/L16</f>
        <v>0.028499800538879995</v>
      </c>
    </row>
    <row r="34" spans="1:12">
      <c r="A34" s="6" t="s">
        <v>148</v>
      </c>
      <c r="B34" s="12">
        <v>0.9298714876578105</v>
      </c>
      <c r="C34" s="12">
        <f>C4/C16</f>
        <v>0.4314020001682458</v>
      </c>
      <c r="D34" s="12">
        <f>D4/D16</f>
        <v>0.47283348414936577</v>
      </c>
      <c r="F34" s="12">
        <f>F4/F16</f>
        <v>0.549057091123222</v>
      </c>
      <c r="G34" s="12">
        <f>G4/G16</f>
        <v>0.43114589668934783</v>
      </c>
      <c r="H34" s="12">
        <f>H4/H16</f>
        <v>0.4641310347643686</v>
      </c>
      <c r="I34" s="12">
        <f>I4/I16</f>
        <v>0.41425156274419717</v>
      </c>
      <c r="J34" s="12">
        <f>J4/J16</f>
        <v>0.47700946749452966</v>
      </c>
      <c r="K34" s="12">
        <f>K4/K16</f>
        <v>0.48546203591574105</v>
      </c>
      <c r="L34" s="12">
        <f>L4/L16</f>
        <v>0.5043900342895841</v>
      </c>
    </row>
    <row r="35" spans="1:12">
      <c r="A35" s="6" t="s">
        <v>149</v>
      </c>
      <c r="B35" s="12">
        <v>44.06096415178571</v>
      </c>
      <c r="C35" s="12">
        <f>C4/C30</f>
        <v>19.45246428571429</v>
      </c>
      <c r="D35" s="12">
        <f>D4/D30</f>
        <v>17.085703139066812</v>
      </c>
      <c r="F35" s="12">
        <f>F4/F30</f>
        <v>24.75768181818182</v>
      </c>
      <c r="G35" s="12">
        <f>G4/G30</f>
        <v>18.3568</v>
      </c>
      <c r="H35" s="12">
        <f>H4/H30</f>
        <v>18.462148760330578</v>
      </c>
      <c r="I35" s="12">
        <f>I4/I30</f>
        <v>15.465205479452054</v>
      </c>
      <c r="J35" s="12">
        <f>J4/J30</f>
        <v>16.779176470588233</v>
      </c>
      <c r="K35" s="12">
        <f>K4/K30</f>
        <v>16.145766497461928</v>
      </c>
      <c r="L35" s="12">
        <f>L4/L30</f>
        <v>15.910519801980197</v>
      </c>
    </row>
    <row r="36" spans="1:12">
      <c r="A36" s="6" t="s">
        <v>150</v>
      </c>
      <c r="B36" s="12">
        <v>49.34827985</v>
      </c>
      <c r="C36" s="12">
        <f>C4/C32</f>
        <v>21.78571428571429</v>
      </c>
      <c r="D36" s="12">
        <f>D4/D32</f>
        <v>19.05354298075238</v>
      </c>
      <c r="F36" s="12">
        <f>F4/F32</f>
        <v>27.72727272727273</v>
      </c>
      <c r="G36" s="12">
        <f>G4/G32</f>
        <v>20.53333333333333</v>
      </c>
      <c r="H36" s="12">
        <f>H4/H32</f>
        <v>20.628099173553718</v>
      </c>
      <c r="I36" s="12">
        <f>I4/I32</f>
        <v>17.26027397260274</v>
      </c>
      <c r="J36" s="12">
        <f>J4/J32</f>
        <v>18.705882352941174</v>
      </c>
      <c r="K36" s="12">
        <f>K4/K32</f>
        <v>17.979695431472084</v>
      </c>
      <c r="L36" s="12">
        <f>L4/L32</f>
        <v>17.698019801980198</v>
      </c>
    </row>
    <row r="37" spans="1:12">
      <c r="A37" s="6" t="s">
        <v>164</v>
      </c>
      <c r="B37" s="12">
        <v>30112.98</v>
      </c>
      <c r="C37" s="12">
        <f>C32*C7</f>
        <v>70000.0</v>
      </c>
      <c r="D37" s="12">
        <f>D32*D7</f>
        <v>983000</v>
      </c>
      <c r="F37" s="12">
        <f>F32*F7</f>
        <v>55000.0</v>
      </c>
      <c r="G37" s="12">
        <f>G32*G7</f>
        <v>75000.0</v>
      </c>
      <c r="H37" s="12">
        <f>H32*H7</f>
        <v>121000.0</v>
      </c>
      <c r="I37" s="12">
        <f>I32*I7</f>
        <v>146000.0</v>
      </c>
      <c r="J37" s="12">
        <f>J32*J7</f>
        <v>187000.00000000003</v>
      </c>
      <c r="K37" s="12">
        <f>K32*K7</f>
        <v>196999.99999999997</v>
      </c>
      <c r="L37" s="12">
        <f>L32*L7</f>
        <v>202000.0</v>
      </c>
    </row>
    <row r="38" spans="1:12">
      <c r="A38" s="6" t="s">
        <v>165</v>
      </c>
      <c r="B38" s="12">
        <v>0</v>
      </c>
      <c r="C38" s="12">
        <f>ROUND(C37-C6,2)</f>
        <v>0</v>
      </c>
      <c r="D38" s="12">
        <f>ROUND(D37-D6,2)</f>
        <v>0</v>
      </c>
      <c r="F38" s="12">
        <f>ROUND(F37-F6,2)</f>
        <v>0</v>
      </c>
      <c r="G38" s="12">
        <f>ROUND(G37-G6,2)</f>
        <v>0</v>
      </c>
      <c r="H38" s="12">
        <f>ROUND(H37-H6,2)</f>
        <v>0</v>
      </c>
      <c r="I38" s="12">
        <f>ROUND(I37-I6,2)</f>
        <v>0</v>
      </c>
      <c r="J38" s="12">
        <f>ROUND(J37-J6,2)</f>
        <v>0</v>
      </c>
      <c r="K38" s="12">
        <f>ROUND(K37-K6,2)</f>
        <v>0</v>
      </c>
      <c r="L38" s="12">
        <f>ROUND(L37-L6,2)</f>
        <v>0</v>
      </c>
    </row>
    <row r="41" spans="1:12">
      <c r="A41" s="10" t="s">
        <v>166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</sheetData>
  <mergeCells count="3">
    <mergeCell ref="A1:L1"/>
    <mergeCell ref="A15:L15"/>
    <mergeCell ref="A41:L43"/>
  </mergeCells>
  <conditionalFormatting sqref="F11:L11">
    <cfRule type="cellIs" dxfId="0" priority="1" operator="lessThan">
      <formula>0</formula>
    </cfRule>
    <cfRule type="cellIs" dxfId="1" priority="2" operator="greater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0AD47"/>
  </sheetPr>
  <dimension ref="A1:L43"/>
  <sheetViews>
    <sheetView showGridLines="0" workbookViewId="0">
      <pane xSplit="5" ySplit="2" topLeftCell="F3" activePane="bottomRight" state="frozen"/>
      <selection pane="topRight" activeCell="F1" sqref="F1"/>
      <selection pane="bottomLeft" activeCell="A3" sqref="A3"/>
      <selection pane="bottomRight"/>
    </sheetView>
  </sheetViews>
  <sheetFormatPr defaultRowHeight="15"/>
  <cols>
    <col min="1" max="1" width="38.7109375" customWidth="1"/>
    <col min="2" max="2" width="24.7109375" customWidth="1"/>
    <col min="3" max="4" width="19.7109375" customWidth="1"/>
    <col min="5" max="5" width="3.7109375" customWidth="1"/>
    <col min="6" max="12" width="15.7109375" customWidth="1"/>
  </cols>
  <sheetData>
    <row r="1" spans="1:12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2" customHeight="1">
      <c r="A2" s="5"/>
      <c r="B2" s="5" t="s">
        <v>153</v>
      </c>
      <c r="C2" s="5" t="s">
        <v>154</v>
      </c>
      <c r="D2" s="5" t="s">
        <v>155</v>
      </c>
      <c r="E2" s="8"/>
      <c r="F2" s="5" t="s">
        <v>97</v>
      </c>
      <c r="G2" s="5" t="s">
        <v>98</v>
      </c>
      <c r="H2" s="5" t="s">
        <v>99</v>
      </c>
      <c r="I2" s="5" t="s">
        <v>100</v>
      </c>
      <c r="J2" s="5" t="s">
        <v>101</v>
      </c>
      <c r="K2" s="5" t="s">
        <v>102</v>
      </c>
      <c r="L2" s="5" t="s">
        <v>103</v>
      </c>
    </row>
    <row r="3" spans="1:12">
      <c r="A3" s="6" t="s">
        <v>2</v>
      </c>
      <c r="B3" s="12">
        <v>44000</v>
      </c>
      <c r="C3" s="12">
        <f>'Premissas'!F4</f>
        <v>5500.0</v>
      </c>
      <c r="D3" s="12">
        <f>SUM(F3:L3)</f>
        <v>38500.0</v>
      </c>
      <c r="F3" s="12">
        <f>'Premissas'!F4</f>
        <v>5500.0</v>
      </c>
      <c r="G3" s="12">
        <f>'Premissas'!F4</f>
        <v>5500.0</v>
      </c>
      <c r="H3" s="12">
        <f>'Premissas'!F4</f>
        <v>5500.0</v>
      </c>
      <c r="I3" s="12">
        <f>'Premissas'!F4</f>
        <v>5500.0</v>
      </c>
      <c r="J3" s="12">
        <f>'Premissas'!F4</f>
        <v>5500.0</v>
      </c>
      <c r="K3" s="12">
        <f>'Premissas'!F4</f>
        <v>5500.0</v>
      </c>
      <c r="L3" s="12">
        <f>'Premissas'!F4</f>
        <v>5500.0</v>
      </c>
    </row>
    <row r="4" spans="1:12">
      <c r="A4" s="6" t="s">
        <v>156</v>
      </c>
      <c r="B4" s="12">
        <v>35163.16939</v>
      </c>
      <c r="C4" s="12">
        <f>F4</f>
        <v>5000</v>
      </c>
      <c r="D4" s="12">
        <f>SUM(F4:L4)</f>
        <v>59000</v>
      </c>
      <c r="F4" s="18">
        <v>5000</v>
      </c>
      <c r="G4" s="18">
        <v>5000</v>
      </c>
      <c r="H4" s="18">
        <v>8000</v>
      </c>
      <c r="I4" s="18">
        <v>8000</v>
      </c>
      <c r="J4" s="18">
        <v>11000</v>
      </c>
      <c r="K4" s="18">
        <v>11000</v>
      </c>
      <c r="L4" s="18">
        <v>11000</v>
      </c>
    </row>
    <row r="5" spans="1:12">
      <c r="A5" s="6" t="s">
        <v>157</v>
      </c>
      <c r="B5" s="12">
        <v>79163.16939</v>
      </c>
      <c r="C5" s="12">
        <f>C3+C4</f>
        <v>10500.0</v>
      </c>
      <c r="D5" s="12">
        <f>SUM(F5:L5)</f>
        <v>97500.0</v>
      </c>
      <c r="F5" s="12">
        <f>F3+F4</f>
        <v>10500.0</v>
      </c>
      <c r="G5" s="12">
        <f>G3+G4</f>
        <v>10500.0</v>
      </c>
      <c r="H5" s="12">
        <f>H3+H4</f>
        <v>13500.0</v>
      </c>
      <c r="I5" s="12">
        <f>I3+I4</f>
        <v>13500.0</v>
      </c>
      <c r="J5" s="12">
        <f>J3+J4</f>
        <v>16500.0</v>
      </c>
      <c r="K5" s="12">
        <f>K3+K4</f>
        <v>16500.0</v>
      </c>
      <c r="L5" s="12">
        <f>L3+L4</f>
        <v>16500.0</v>
      </c>
    </row>
    <row r="6" spans="1:12">
      <c r="A6" s="6" t="s">
        <v>7</v>
      </c>
      <c r="B6" s="12">
        <v>214136.28</v>
      </c>
      <c r="C6" s="12">
        <f>C5/C8</f>
        <v>70000.0</v>
      </c>
      <c r="D6" s="12">
        <f>SUM(F6:L6)</f>
        <v>1152000</v>
      </c>
      <c r="F6" s="18">
        <v>65000</v>
      </c>
      <c r="G6" s="18">
        <v>90000</v>
      </c>
      <c r="H6" s="18">
        <v>144000</v>
      </c>
      <c r="I6" s="18">
        <v>169000</v>
      </c>
      <c r="J6" s="18">
        <v>213000</v>
      </c>
      <c r="K6" s="18">
        <v>228000</v>
      </c>
      <c r="L6" s="18">
        <v>243000</v>
      </c>
    </row>
    <row r="7" spans="1:12">
      <c r="A7" s="6" t="s">
        <v>79</v>
      </c>
      <c r="B7" s="12">
        <v>296.5876454293629</v>
      </c>
      <c r="C7" s="12">
        <f>F7</f>
        <v>310</v>
      </c>
      <c r="D7" s="12">
        <f>D6/D32</f>
        <v>328.56560044577463</v>
      </c>
      <c r="F7" s="18">
        <v>310</v>
      </c>
      <c r="G7" s="18">
        <v>315</v>
      </c>
      <c r="H7" s="18">
        <v>320</v>
      </c>
      <c r="I7" s="18">
        <v>325</v>
      </c>
      <c r="J7" s="18">
        <v>330</v>
      </c>
      <c r="K7" s="18">
        <v>335</v>
      </c>
      <c r="L7" s="18">
        <v>340</v>
      </c>
    </row>
    <row r="8" spans="1:12">
      <c r="A8" s="6" t="s">
        <v>81</v>
      </c>
      <c r="B8" s="15">
        <v>0.15</v>
      </c>
      <c r="C8" s="15">
        <f>'Premissas'!F7</f>
        <v>0.15</v>
      </c>
      <c r="D8" s="15">
        <f>'Premissas'!F7</f>
        <v>0.15</v>
      </c>
      <c r="F8" s="15">
        <f>'Premissas'!F7</f>
        <v>0.15</v>
      </c>
      <c r="G8" s="15">
        <f>'Premissas'!F7</f>
        <v>0.15</v>
      </c>
      <c r="H8" s="15">
        <f>'Premissas'!F7</f>
        <v>0.15</v>
      </c>
      <c r="I8" s="15">
        <f>'Premissas'!F7</f>
        <v>0.15</v>
      </c>
      <c r="J8" s="15">
        <f>'Premissas'!F7</f>
        <v>0.15</v>
      </c>
      <c r="K8" s="15">
        <f>'Premissas'!F7</f>
        <v>0.15</v>
      </c>
      <c r="L8" s="15">
        <f>'Premissas'!F7</f>
        <v>0.15</v>
      </c>
    </row>
    <row r="9" spans="1:12">
      <c r="A9" s="6" t="s">
        <v>83</v>
      </c>
      <c r="B9" s="12">
        <v>32120.442</v>
      </c>
      <c r="C9" s="12">
        <f>C6*C8</f>
        <v>10500.0</v>
      </c>
      <c r="D9" s="12">
        <f>D6*D8</f>
        <v>172800.0</v>
      </c>
      <c r="F9" s="12">
        <f>F6*F8</f>
        <v>9750.0</v>
      </c>
      <c r="G9" s="12">
        <f>G6*G8</f>
        <v>13500.0</v>
      </c>
      <c r="H9" s="12">
        <f>H6*H8</f>
        <v>21600.0</v>
      </c>
      <c r="I9" s="12">
        <f>I6*I8</f>
        <v>25350.0</v>
      </c>
      <c r="J9" s="12">
        <f>J6*J8</f>
        <v>31950.0</v>
      </c>
      <c r="K9" s="12">
        <f>K6*K8</f>
        <v>34200.0</v>
      </c>
      <c r="L9" s="12">
        <f>L6*L8</f>
        <v>36450.0</v>
      </c>
    </row>
    <row r="10" spans="1:12">
      <c r="A10" s="6" t="s">
        <v>158</v>
      </c>
      <c r="B10" s="12">
        <v>-47042.72738999999</v>
      </c>
      <c r="C10" s="12">
        <f>C9-C5</f>
        <v>0</v>
      </c>
      <c r="D10" s="12">
        <f>D9-D5</f>
        <v>75300.0</v>
      </c>
      <c r="F10" s="12">
        <f>F9-F5</f>
        <v>-750.0</v>
      </c>
      <c r="G10" s="12">
        <f>G9-G5</f>
        <v>3000.0</v>
      </c>
      <c r="H10" s="12">
        <f>H9-H5</f>
        <v>8100.0</v>
      </c>
      <c r="I10" s="12">
        <f>I9-I5</f>
        <v>11850.0</v>
      </c>
      <c r="J10" s="12">
        <f>J9-J5</f>
        <v>15450.0</v>
      </c>
      <c r="K10" s="12">
        <f>K9-K5</f>
        <v>17700.0</v>
      </c>
      <c r="L10" s="12">
        <f>L9-L5</f>
        <v>19950.0</v>
      </c>
    </row>
    <row r="11" spans="1:12">
      <c r="A11" s="6" t="s">
        <v>159</v>
      </c>
      <c r="B11" s="12">
        <v>-47042.72738999999</v>
      </c>
      <c r="C11" s="12">
        <f>C10</f>
        <v>0</v>
      </c>
      <c r="D11" s="12">
        <f>L11</f>
        <v>28257.27</v>
      </c>
      <c r="F11" s="12">
        <f>ROUND($B11+F10,2)</f>
        <v>-47792.73</v>
      </c>
      <c r="G11" s="12">
        <f>ROUND(F11+G10,2)</f>
        <v>-44792.73</v>
      </c>
      <c r="H11" s="12">
        <f>ROUND(G11+H10,2)</f>
        <v>-36692.73</v>
      </c>
      <c r="I11" s="12">
        <f>ROUND(H11+I10,2)</f>
        <v>-24842.73</v>
      </c>
      <c r="J11" s="12">
        <f>ROUND(I11+J10,2)</f>
        <v>-9392.73</v>
      </c>
      <c r="K11" s="12">
        <f>ROUND(J11+K10,2)</f>
        <v>8307.27</v>
      </c>
      <c r="L11" s="12">
        <f>ROUND(K11+L10,2)</f>
        <v>28257.27</v>
      </c>
    </row>
    <row r="12" spans="1:12">
      <c r="A12" s="6" t="s">
        <v>160</v>
      </c>
      <c r="B12" s="16">
        <v>6.089788938675644</v>
      </c>
      <c r="C12" s="16">
        <f>C6/C4</f>
        <v>14.0</v>
      </c>
      <c r="D12" s="16">
        <f>D6/D4</f>
        <v>19.52542372881356</v>
      </c>
      <c r="F12" s="16">
        <f>F6/F4</f>
        <v>13.0</v>
      </c>
      <c r="G12" s="16">
        <f>G6/G4</f>
        <v>18.0</v>
      </c>
      <c r="H12" s="16">
        <f>H6/H4</f>
        <v>18.0</v>
      </c>
      <c r="I12" s="16">
        <f>I6/I4</f>
        <v>21.125</v>
      </c>
      <c r="J12" s="16">
        <f>J6/J4</f>
        <v>19.363636363636363</v>
      </c>
      <c r="K12" s="16">
        <f>K6/K4</f>
        <v>20.727272727272727</v>
      </c>
      <c r="L12" s="16">
        <f>L6/L4</f>
        <v>22.09090909090909</v>
      </c>
    </row>
    <row r="13" spans="1:12">
      <c r="A13" s="6" t="s">
        <v>25</v>
      </c>
      <c r="B13" s="19" t="s">
        <v>161</v>
      </c>
      <c r="C13" s="20" t="s">
        <v>162</v>
      </c>
      <c r="D13" s="20" t="str">
        <f>IF(D11&gt;=0,"BREAKEVEN ATINGIDO","NÃO BREAKEVA")</f>
        <v>BREAKEVEN ATINGIDO</v>
      </c>
      <c r="F13" s="19" t="str">
        <f>IF(F11&gt;=0,"BREAKEVEN","EM RECUPERAÇÃO")</f>
        <v>EM RECUPERAÇÃO</v>
      </c>
      <c r="G13" s="19" t="str">
        <f>IF(G11&gt;=0,"BREAKEVEN","EM RECUPERAÇÃO")</f>
        <v>EM RECUPERAÇÃO</v>
      </c>
      <c r="H13" s="19" t="str">
        <f>IF(H11&gt;=0,"BREAKEVEN","EM RECUPERAÇÃO")</f>
        <v>EM RECUPERAÇÃO</v>
      </c>
      <c r="I13" s="19" t="str">
        <f>IF(I11&gt;=0,"BREAKEVEN","EM RECUPERAÇÃO")</f>
        <v>EM RECUPERAÇÃO</v>
      </c>
      <c r="J13" s="19" t="str">
        <f>IF(J11&gt;=0,"BREAKEVEN","EM RECUPERAÇÃO")</f>
        <v>EM RECUPERAÇÃO</v>
      </c>
      <c r="K13" s="20" t="str">
        <f>IF(K11&gt;=0,"BREAKEVEN","EM RECUPERAÇÃO")</f>
        <v>BREAKEVEN</v>
      </c>
      <c r="L13" s="20" t="str">
        <f>IF(L11&gt;=0,"BREAKEVEN","EM RECUPERAÇÃO")</f>
        <v>BREAKEVEN</v>
      </c>
    </row>
    <row r="15" spans="1:12">
      <c r="A15" s="4" t="s">
        <v>163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6" t="s">
        <v>4</v>
      </c>
      <c r="B16" s="14">
        <v>5307</v>
      </c>
      <c r="C16" s="14">
        <f>C18/C17</f>
        <v>10754.03749725516</v>
      </c>
      <c r="D16" s="14">
        <f>SUM(F16:L16)</f>
        <v>133839.85206343245</v>
      </c>
      <c r="F16" s="14">
        <f>F18/F17</f>
        <v>9985.891961736932</v>
      </c>
      <c r="G16" s="14">
        <f>G18/G17</f>
        <v>12697.56101596553</v>
      </c>
      <c r="H16" s="14">
        <f>H18/H17</f>
        <v>18750.326321521643</v>
      </c>
      <c r="I16" s="14">
        <f>I18/I17</f>
        <v>20390.687950229072</v>
      </c>
      <c r="J16" s="14">
        <f>J18/J17</f>
        <v>23906.847381211697</v>
      </c>
      <c r="K16" s="14">
        <f>K18/K17</f>
        <v>23882.618450249294</v>
      </c>
      <c r="L16" s="14">
        <f>L18/L17</f>
        <v>24225.918982518273</v>
      </c>
    </row>
    <row r="17" spans="1:12">
      <c r="A17" s="6" t="s">
        <v>139</v>
      </c>
      <c r="B17" s="15">
        <v>0.7957414735255323</v>
      </c>
      <c r="C17" s="15">
        <f>F17</f>
        <v>0.82</v>
      </c>
      <c r="D17" s="15">
        <f>D18/D16</f>
        <v>0.8904971301010267</v>
      </c>
      <c r="F17" s="17">
        <v>0.82</v>
      </c>
      <c r="G17" s="17">
        <v>0.84</v>
      </c>
      <c r="H17" s="17">
        <v>0.86</v>
      </c>
      <c r="I17" s="17">
        <v>0.88</v>
      </c>
      <c r="J17" s="17">
        <v>0.9</v>
      </c>
      <c r="K17" s="17">
        <v>0.92</v>
      </c>
      <c r="L17" s="17">
        <v>0.9399999999999999</v>
      </c>
    </row>
    <row r="18" spans="1:12">
      <c r="A18" s="6" t="s">
        <v>32</v>
      </c>
      <c r="B18" s="14">
        <v>4223</v>
      </c>
      <c r="C18" s="14">
        <f>C20/C19</f>
        <v>8818.31074774923</v>
      </c>
      <c r="D18" s="14">
        <f>SUM(F18:L18)</f>
        <v>119184.00415563257</v>
      </c>
      <c r="F18" s="14">
        <f>F20/F19</f>
        <v>8188.431408624284</v>
      </c>
      <c r="G18" s="14">
        <f>G20/G19</f>
        <v>10665.951253411045</v>
      </c>
      <c r="H18" s="14">
        <f>H20/H19</f>
        <v>16125.280636508613</v>
      </c>
      <c r="I18" s="14">
        <f>I20/I19</f>
        <v>17943.805396201584</v>
      </c>
      <c r="J18" s="14">
        <f>J20/J19</f>
        <v>21516.162643090527</v>
      </c>
      <c r="K18" s="14">
        <f>K20/K19</f>
        <v>21972.008974229353</v>
      </c>
      <c r="L18" s="14">
        <f>L20/L19</f>
        <v>22772.363843567175</v>
      </c>
    </row>
    <row r="19" spans="1:12">
      <c r="A19" s="6" t="s">
        <v>140</v>
      </c>
      <c r="B19" s="15">
        <v>0.04428131659957376</v>
      </c>
      <c r="C19" s="15">
        <f>F19</f>
        <v>0.21202882483370292</v>
      </c>
      <c r="D19" s="15">
        <f>D20/D18</f>
        <v>0.20465197926677742</v>
      </c>
      <c r="F19" s="17">
        <v>0.2120288248337029</v>
      </c>
      <c r="G19" s="17">
        <v>0.2096861471861472</v>
      </c>
      <c r="H19" s="17">
        <v>0.2074524312896406</v>
      </c>
      <c r="I19" s="17">
        <v>0.2053202479338843</v>
      </c>
      <c r="J19" s="17">
        <v>0.2032828282828283</v>
      </c>
      <c r="K19" s="17">
        <v>0.2025691699604743</v>
      </c>
      <c r="L19" s="17">
        <v>0.2004352030947776</v>
      </c>
    </row>
    <row r="20" spans="1:12">
      <c r="A20" s="6" t="s">
        <v>34</v>
      </c>
      <c r="B20" s="14">
        <v>187</v>
      </c>
      <c r="C20" s="14">
        <f>C22/C21</f>
        <v>1869.7360648636813</v>
      </c>
      <c r="D20" s="14">
        <f>SUM(F20:L20)</f>
        <v>24391.24234739003</v>
      </c>
      <c r="F20" s="14">
        <f>F22/F21</f>
        <v>1736.1834888019896</v>
      </c>
      <c r="G20" s="14">
        <f>G22/G21</f>
        <v>2236.5022244030197</v>
      </c>
      <c r="H20" s="14">
        <f>H22/H21</f>
        <v>3345.2286732714747</v>
      </c>
      <c r="I20" s="14">
        <f>I22/I21</f>
        <v>3684.22657282548</v>
      </c>
      <c r="J20" s="14">
        <f>J22/J21</f>
        <v>4373.8663958807765</v>
      </c>
      <c r="K20" s="14">
        <f>K22/K21</f>
        <v>4450.851620273733</v>
      </c>
      <c r="L20" s="14">
        <f>L22/L21</f>
        <v>4564.383371933556</v>
      </c>
    </row>
    <row r="21" spans="1:12">
      <c r="A21" s="6" t="s">
        <v>141</v>
      </c>
      <c r="B21" s="15">
        <v>1</v>
      </c>
      <c r="C21" s="15">
        <f>F21</f>
        <v>0.88</v>
      </c>
      <c r="D21" s="15">
        <f>D22/D20</f>
        <v>0.8799999999999999</v>
      </c>
      <c r="F21" s="17">
        <v>0.88</v>
      </c>
      <c r="G21" s="17">
        <v>0.88</v>
      </c>
      <c r="H21" s="17">
        <v>0.88</v>
      </c>
      <c r="I21" s="17">
        <v>0.88</v>
      </c>
      <c r="J21" s="17">
        <v>0.88</v>
      </c>
      <c r="K21" s="17">
        <v>0.88</v>
      </c>
      <c r="L21" s="17">
        <v>0.88</v>
      </c>
    </row>
    <row r="22" spans="1:12">
      <c r="A22" s="6" t="s">
        <v>35</v>
      </c>
      <c r="B22" s="14">
        <v>306</v>
      </c>
      <c r="C22" s="14">
        <f>C24/C23</f>
        <v>1645.3677370800397</v>
      </c>
      <c r="D22" s="14">
        <f>SUM(F22:L22)</f>
        <v>21464.293265703225</v>
      </c>
      <c r="F22" s="14">
        <f>F24/F23</f>
        <v>1527.841470145751</v>
      </c>
      <c r="G22" s="14">
        <f>G24/G23</f>
        <v>1968.1219574746574</v>
      </c>
      <c r="H22" s="14">
        <f>H24/H23</f>
        <v>2943.801232478898</v>
      </c>
      <c r="I22" s="14">
        <f>I24/I23</f>
        <v>3242.1193840864225</v>
      </c>
      <c r="J22" s="14">
        <f>J24/J23</f>
        <v>3849.0024283750836</v>
      </c>
      <c r="K22" s="14">
        <f>K24/K23</f>
        <v>3916.7494258408847</v>
      </c>
      <c r="L22" s="14">
        <f>L24/L23</f>
        <v>4016.657367301529</v>
      </c>
    </row>
    <row r="23" spans="1:12">
      <c r="A23" s="6" t="s">
        <v>142</v>
      </c>
      <c r="B23" s="15">
        <v>0.7287581699346405</v>
      </c>
      <c r="C23" s="15">
        <f>F23</f>
        <v>0.897</v>
      </c>
      <c r="D23" s="15">
        <f>D24/D22</f>
        <v>0.8989984066870184</v>
      </c>
      <c r="F23" s="17">
        <v>0.897</v>
      </c>
      <c r="G23" s="17">
        <v>0.898</v>
      </c>
      <c r="H23" s="17">
        <v>0.898</v>
      </c>
      <c r="I23" s="17">
        <v>0.899</v>
      </c>
      <c r="J23" s="17">
        <v>0.899</v>
      </c>
      <c r="K23" s="17">
        <v>0.9</v>
      </c>
      <c r="L23" s="17">
        <v>0.9</v>
      </c>
    </row>
    <row r="24" spans="1:12">
      <c r="A24" s="6" t="s">
        <v>37</v>
      </c>
      <c r="B24" s="14">
        <v>223</v>
      </c>
      <c r="C24" s="14">
        <f>C26/C25</f>
        <v>1475.8948601607956</v>
      </c>
      <c r="D24" s="14">
        <f>SUM(F24:L24)</f>
        <v>19296.365446530097</v>
      </c>
      <c r="F24" s="14">
        <f>F26/F25</f>
        <v>1370.4737987207386</v>
      </c>
      <c r="G24" s="14">
        <f>G26/G25</f>
        <v>1767.3735178122424</v>
      </c>
      <c r="H24" s="14">
        <f>H26/H25</f>
        <v>2643.5335067660503</v>
      </c>
      <c r="I24" s="14">
        <f>I26/I25</f>
        <v>2914.665326293694</v>
      </c>
      <c r="J24" s="14">
        <f>J26/J25</f>
        <v>3460.2531831092</v>
      </c>
      <c r="K24" s="14">
        <f>K26/K25</f>
        <v>3525.074483256796</v>
      </c>
      <c r="L24" s="14">
        <f>L26/L25</f>
        <v>3614.9916305713764</v>
      </c>
    </row>
    <row r="25" spans="1:12">
      <c r="A25" s="6" t="s">
        <v>143</v>
      </c>
      <c r="B25" s="15">
        <v>1</v>
      </c>
      <c r="C25" s="15">
        <f>F25</f>
        <v>0.695</v>
      </c>
      <c r="D25" s="15">
        <f>D26/D24</f>
        <v>0.7402815531571546</v>
      </c>
      <c r="F25" s="17">
        <v>0.695</v>
      </c>
      <c r="G25" s="17">
        <v>0.71</v>
      </c>
      <c r="H25" s="17">
        <v>0.725</v>
      </c>
      <c r="I25" s="17">
        <v>0.74</v>
      </c>
      <c r="J25" s="17">
        <v>0.75</v>
      </c>
      <c r="K25" s="17">
        <v>0.755</v>
      </c>
      <c r="L25" s="17">
        <v>0.76</v>
      </c>
    </row>
    <row r="26" spans="1:12">
      <c r="A26" s="6" t="s">
        <v>38</v>
      </c>
      <c r="B26" s="14">
        <v>495</v>
      </c>
      <c r="C26" s="14">
        <f>C28/C27</f>
        <v>1025.7469278117528</v>
      </c>
      <c r="D26" s="14">
        <f>SUM(F26:L26)</f>
        <v>14284.743383045352</v>
      </c>
      <c r="F26" s="14">
        <f>F28/F27</f>
        <v>952.4792901109133</v>
      </c>
      <c r="G26" s="14">
        <f>G28/G27</f>
        <v>1254.835197646692</v>
      </c>
      <c r="H26" s="14">
        <f>H28/H27</f>
        <v>1916.5617924053863</v>
      </c>
      <c r="I26" s="14">
        <f>I28/I27</f>
        <v>2156.8523414573333</v>
      </c>
      <c r="J26" s="14">
        <f>J28/J27</f>
        <v>2595.1898873319</v>
      </c>
      <c r="K26" s="14">
        <f>K28/K27</f>
        <v>2661.431234858881</v>
      </c>
      <c r="L26" s="14">
        <f>L28/L27</f>
        <v>2747.393639234246</v>
      </c>
    </row>
    <row r="27" spans="1:12">
      <c r="A27" s="6" t="s">
        <v>144</v>
      </c>
      <c r="B27" s="15">
        <v>0.6606060606060606</v>
      </c>
      <c r="C27" s="15">
        <f>F27</f>
        <v>0.675</v>
      </c>
      <c r="D27" s="15">
        <f>D28/D26</f>
        <v>0.7217412525250003</v>
      </c>
      <c r="F27" s="17">
        <v>0.675</v>
      </c>
      <c r="G27" s="17">
        <v>0.6899999999999999</v>
      </c>
      <c r="H27" s="17">
        <v>0.705</v>
      </c>
      <c r="I27" s="17">
        <v>0.72</v>
      </c>
      <c r="J27" s="17">
        <v>0.73</v>
      </c>
      <c r="K27" s="17">
        <v>0.74</v>
      </c>
      <c r="L27" s="17">
        <v>0.74</v>
      </c>
    </row>
    <row r="28" spans="1:12">
      <c r="A28" s="6" t="s">
        <v>40</v>
      </c>
      <c r="B28" s="14">
        <v>327</v>
      </c>
      <c r="C28" s="14">
        <f>C30/C29</f>
        <v>692.3791762729331</v>
      </c>
      <c r="D28" s="14">
        <f>SUM(F28:L28)</f>
        <v>10309.888581277362</v>
      </c>
      <c r="F28" s="14">
        <f>F30/F29</f>
        <v>642.9235208248665</v>
      </c>
      <c r="G28" s="14">
        <f>G30/G29</f>
        <v>865.8362863762175</v>
      </c>
      <c r="H28" s="14">
        <f>H30/H29</f>
        <v>1351.1760636457973</v>
      </c>
      <c r="I28" s="14">
        <f>I30/I29</f>
        <v>1552.93368584928</v>
      </c>
      <c r="J28" s="14">
        <f>J30/J29</f>
        <v>1894.488617752287</v>
      </c>
      <c r="K28" s="14">
        <f>K30/K29</f>
        <v>1969.459113795572</v>
      </c>
      <c r="L28" s="14">
        <f>L30/L29</f>
        <v>2033.0712930333423</v>
      </c>
    </row>
    <row r="29" spans="1:12">
      <c r="A29" s="6" t="s">
        <v>145</v>
      </c>
      <c r="B29" s="15">
        <v>0.3425076452599388</v>
      </c>
      <c r="C29" s="15">
        <f>F29</f>
        <v>0.3648</v>
      </c>
      <c r="D29" s="15">
        <f>D30/D28</f>
        <v>0.3788267262207078</v>
      </c>
      <c r="F29" s="17">
        <v>0.3648</v>
      </c>
      <c r="G29" s="17">
        <v>0.3687</v>
      </c>
      <c r="H29" s="17">
        <v>0.3717</v>
      </c>
      <c r="I29" s="17">
        <v>0.3733</v>
      </c>
      <c r="J29" s="17">
        <v>0.3794</v>
      </c>
      <c r="K29" s="17">
        <v>0.3844</v>
      </c>
      <c r="L29" s="17">
        <v>0.3906</v>
      </c>
    </row>
    <row r="30" spans="1:12">
      <c r="A30" s="6" t="s">
        <v>5</v>
      </c>
      <c r="B30" s="14">
        <v>112</v>
      </c>
      <c r="C30" s="14">
        <f>C32/C31</f>
        <v>252.57992350436604</v>
      </c>
      <c r="D30" s="14">
        <f>SUM(F30:L30)</f>
        <v>3905.661338945561</v>
      </c>
      <c r="F30" s="14">
        <f>F32/F31</f>
        <v>234.5385003969113</v>
      </c>
      <c r="G30" s="14">
        <f>G32/G31</f>
        <v>319.2338387869114</v>
      </c>
      <c r="H30" s="14">
        <f>H32/H31</f>
        <v>502.23214285714283</v>
      </c>
      <c r="I30" s="14">
        <f>I32/I31</f>
        <v>579.7101449275362</v>
      </c>
      <c r="J30" s="14">
        <f>J32/J31</f>
        <v>718.7689815752177</v>
      </c>
      <c r="K30" s="14">
        <f>K32/K31</f>
        <v>757.0600833430179</v>
      </c>
      <c r="L30" s="14">
        <f>L32/L31</f>
        <v>794.1176470588235</v>
      </c>
    </row>
    <row r="31" spans="1:12">
      <c r="A31" s="6" t="s">
        <v>146</v>
      </c>
      <c r="B31" s="15">
        <v>0.8928571428571429</v>
      </c>
      <c r="C31" s="15">
        <f>F31</f>
        <v>0.894</v>
      </c>
      <c r="D31" s="15">
        <f>D32/D30</f>
        <v>0.8977094641668456</v>
      </c>
      <c r="F31" s="17">
        <v>0.894</v>
      </c>
      <c r="G31" s="17">
        <v>0.895</v>
      </c>
      <c r="H31" s="17">
        <v>0.896</v>
      </c>
      <c r="I31" s="17">
        <v>0.897</v>
      </c>
      <c r="J31" s="17">
        <v>0.898</v>
      </c>
      <c r="K31" s="17">
        <v>0.899</v>
      </c>
      <c r="L31" s="17">
        <v>0.9</v>
      </c>
    </row>
    <row r="32" spans="1:12">
      <c r="A32" s="6" t="s">
        <v>6</v>
      </c>
      <c r="B32" s="14">
        <v>100</v>
      </c>
      <c r="C32" s="14">
        <f>C6/C7</f>
        <v>225.80645161290323</v>
      </c>
      <c r="D32" s="14">
        <f>SUM(F32:L32)</f>
        <v>3506.1491478019843</v>
      </c>
      <c r="F32" s="14">
        <f>F6/F7</f>
        <v>209.67741935483872</v>
      </c>
      <c r="G32" s="14">
        <f>G6/G7</f>
        <v>285.7142857142857</v>
      </c>
      <c r="H32" s="14">
        <f>H6/H7</f>
        <v>450.0</v>
      </c>
      <c r="I32" s="14">
        <f>I6/I7</f>
        <v>520.0</v>
      </c>
      <c r="J32" s="14">
        <f>J6/J7</f>
        <v>645.4545454545455</v>
      </c>
      <c r="K32" s="14">
        <f>K6/K7</f>
        <v>680.5970149253732</v>
      </c>
      <c r="L32" s="14">
        <f>L6/L7</f>
        <v>714.7058823529412</v>
      </c>
    </row>
    <row r="33" spans="1:12">
      <c r="A33" s="6" t="s">
        <v>147</v>
      </c>
      <c r="B33" s="15">
        <v>0.01884303749764462</v>
      </c>
      <c r="C33" s="15">
        <f>C32/C16</f>
        <v>0.020997365098507203</v>
      </c>
      <c r="D33" s="15">
        <f>D32/D16</f>
        <v>0.02619660059202897</v>
      </c>
      <c r="F33" s="15">
        <f>F32/F16</f>
        <v>0.020997365098507206</v>
      </c>
      <c r="G33" s="15">
        <f>G32/G16</f>
        <v>0.022501509176056506</v>
      </c>
      <c r="H33" s="15">
        <f>H32/H16</f>
        <v>0.023999582315721597</v>
      </c>
      <c r="I33" s="15">
        <f>I32/I16</f>
        <v>0.02550183697917648</v>
      </c>
      <c r="J33" s="15">
        <f>J32/J16</f>
        <v>0.026998731165273</v>
      </c>
      <c r="K33" s="15">
        <f>K32/K16</f>
        <v>0.028497587747472006</v>
      </c>
      <c r="L33" s="15">
        <f>L32/L16</f>
        <v>0.029501703645120003</v>
      </c>
    </row>
    <row r="34" spans="1:12">
      <c r="A34" s="6" t="s">
        <v>148</v>
      </c>
      <c r="B34" s="12">
        <v>0.9298714876578105</v>
      </c>
      <c r="C34" s="12">
        <f>C4/C16</f>
        <v>0.46494165575265944</v>
      </c>
      <c r="D34" s="12">
        <f>D4/D16</f>
        <v>0.44082535276591134</v>
      </c>
      <c r="F34" s="12">
        <f>F4/F16</f>
        <v>0.5007063985028641</v>
      </c>
      <c r="G34" s="12">
        <f>G4/G16</f>
        <v>0.39377641058098883</v>
      </c>
      <c r="H34" s="12">
        <f>H4/H16</f>
        <v>0.42665924116838394</v>
      </c>
      <c r="I34" s="12">
        <f>I4/I16</f>
        <v>0.392335953525792</v>
      </c>
      <c r="J34" s="12">
        <f>J4/J16</f>
        <v>0.46011922126732857</v>
      </c>
      <c r="K34" s="12">
        <f>K4/K16</f>
        <v>0.460586012497519</v>
      </c>
      <c r="L34" s="12">
        <f>L4/L16</f>
        <v>0.4540591425216</v>
      </c>
    </row>
    <row r="35" spans="1:12">
      <c r="A35" s="6" t="s">
        <v>149</v>
      </c>
      <c r="B35" s="12">
        <v>44.06096415178571</v>
      </c>
      <c r="C35" s="12">
        <f>C4/C30</f>
        <v>19.795714285714286</v>
      </c>
      <c r="D35" s="12">
        <f>D4/D30</f>
        <v>15.106276474019287</v>
      </c>
      <c r="F35" s="12">
        <f>F4/F30</f>
        <v>21.318461538461538</v>
      </c>
      <c r="G35" s="12">
        <f>G4/G30</f>
        <v>15.6625</v>
      </c>
      <c r="H35" s="12">
        <f>H4/H30</f>
        <v>15.92888888888889</v>
      </c>
      <c r="I35" s="12">
        <f>I4/I30</f>
        <v>13.799999999999999</v>
      </c>
      <c r="J35" s="12">
        <f>J4/J30</f>
        <v>15.30394366197183</v>
      </c>
      <c r="K35" s="12">
        <f>K4/K30</f>
        <v>14.529890350877194</v>
      </c>
      <c r="L35" s="12">
        <f>L4/L30</f>
        <v>13.851851851851851</v>
      </c>
    </row>
    <row r="36" spans="1:12">
      <c r="A36" s="6" t="s">
        <v>150</v>
      </c>
      <c r="B36" s="12">
        <v>49.34827985</v>
      </c>
      <c r="C36" s="12">
        <f>C4/C32</f>
        <v>22.142857142857142</v>
      </c>
      <c r="D36" s="12">
        <f>D4/D32</f>
        <v>16.827578495052695</v>
      </c>
      <c r="F36" s="12">
        <f>F4/F32</f>
        <v>23.846153846153847</v>
      </c>
      <c r="G36" s="12">
        <f>G4/G32</f>
        <v>17.5</v>
      </c>
      <c r="H36" s="12">
        <f>H4/H32</f>
        <v>17.77777777777778</v>
      </c>
      <c r="I36" s="12">
        <f>I4/I32</f>
        <v>15.384615384615385</v>
      </c>
      <c r="J36" s="12">
        <f>J4/J32</f>
        <v>17.04225352112676</v>
      </c>
      <c r="K36" s="12">
        <f>K4/K32</f>
        <v>16.162280701754383</v>
      </c>
      <c r="L36" s="12">
        <f>L4/L32</f>
        <v>15.390946502057613</v>
      </c>
    </row>
    <row r="37" spans="1:12">
      <c r="A37" s="6" t="s">
        <v>164</v>
      </c>
      <c r="B37" s="12">
        <v>30112.98</v>
      </c>
      <c r="C37" s="12">
        <f>C32*C7</f>
        <v>70000.0</v>
      </c>
      <c r="D37" s="12">
        <f>D32*D7</f>
        <v>1152000</v>
      </c>
      <c r="F37" s="12">
        <f>F32*F7</f>
        <v>65000.0</v>
      </c>
      <c r="G37" s="12">
        <f>G32*G7</f>
        <v>90000.0</v>
      </c>
      <c r="H37" s="12">
        <f>H32*H7</f>
        <v>144000.0</v>
      </c>
      <c r="I37" s="12">
        <f>I32*I7</f>
        <v>169000.0</v>
      </c>
      <c r="J37" s="12">
        <f>J32*J7</f>
        <v>213000.0</v>
      </c>
      <c r="K37" s="12">
        <f>K32*K7</f>
        <v>228000.0</v>
      </c>
      <c r="L37" s="12">
        <f>L32*L7</f>
        <v>243000.0</v>
      </c>
    </row>
    <row r="38" spans="1:12">
      <c r="A38" s="6" t="s">
        <v>165</v>
      </c>
      <c r="B38" s="12">
        <v>0</v>
      </c>
      <c r="C38" s="12">
        <f>ROUND(C37-C6,2)</f>
        <v>0</v>
      </c>
      <c r="D38" s="12">
        <f>ROUND(D37-D6,2)</f>
        <v>0</v>
      </c>
      <c r="F38" s="12">
        <f>ROUND(F37-F6,2)</f>
        <v>0</v>
      </c>
      <c r="G38" s="12">
        <f>ROUND(G37-G6,2)</f>
        <v>0</v>
      </c>
      <c r="H38" s="12">
        <f>ROUND(H37-H6,2)</f>
        <v>0</v>
      </c>
      <c r="I38" s="12">
        <f>ROUND(I37-I6,2)</f>
        <v>0</v>
      </c>
      <c r="J38" s="12">
        <f>ROUND(J37-J6,2)</f>
        <v>0</v>
      </c>
      <c r="K38" s="12">
        <f>ROUND(K37-K6,2)</f>
        <v>0</v>
      </c>
      <c r="L38" s="12">
        <f>ROUND(L37-L6,2)</f>
        <v>0</v>
      </c>
    </row>
    <row r="41" spans="1:12">
      <c r="A41" s="10" t="s">
        <v>166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</sheetData>
  <mergeCells count="3">
    <mergeCell ref="A1:L1"/>
    <mergeCell ref="A15:L15"/>
    <mergeCell ref="A41:L43"/>
  </mergeCells>
  <conditionalFormatting sqref="F11:L11">
    <cfRule type="cellIs" dxfId="0" priority="1" operator="lessThan">
      <formula>0</formula>
    </cfRule>
    <cfRule type="cellIs" dxfId="1" priority="2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B9BD5"/>
  </sheetPr>
  <dimension ref="A1:N2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4" width="17.7109375" customWidth="1"/>
    <col min="5" max="5" width="31.7109375" customWidth="1"/>
    <col min="7" max="14" width="15.7109375" customWidth="1"/>
  </cols>
  <sheetData>
    <row r="1" spans="1:14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>
      <c r="A3" s="4" t="s">
        <v>20</v>
      </c>
      <c r="B3" s="4"/>
      <c r="C3" s="4"/>
      <c r="D3" s="4"/>
      <c r="E3" s="4"/>
      <c r="G3" s="4" t="s">
        <v>174</v>
      </c>
      <c r="H3" s="4"/>
      <c r="I3" s="4"/>
      <c r="J3" s="4"/>
      <c r="K3" s="4"/>
      <c r="L3" s="4"/>
      <c r="M3" s="4"/>
      <c r="N3" s="4"/>
    </row>
    <row r="4" spans="1:14">
      <c r="A4" s="5" t="s">
        <v>21</v>
      </c>
      <c r="B4" s="5" t="s">
        <v>170</v>
      </c>
      <c r="C4" s="5" t="s">
        <v>23</v>
      </c>
      <c r="D4" s="5" t="s">
        <v>24</v>
      </c>
      <c r="E4" s="5" t="s">
        <v>171</v>
      </c>
      <c r="G4" s="5" t="s">
        <v>21</v>
      </c>
      <c r="H4" s="5" t="s">
        <v>97</v>
      </c>
      <c r="I4" s="5" t="s">
        <v>98</v>
      </c>
      <c r="J4" s="5" t="s">
        <v>99</v>
      </c>
      <c r="K4" s="5" t="s">
        <v>100</v>
      </c>
      <c r="L4" s="5" t="s">
        <v>101</v>
      </c>
      <c r="M4" s="5" t="s">
        <v>102</v>
      </c>
      <c r="N4" s="5" t="s">
        <v>103</v>
      </c>
    </row>
    <row r="5" spans="1:14">
      <c r="A5" s="8" t="s">
        <v>4</v>
      </c>
      <c r="B5" s="21">
        <v>5307</v>
      </c>
      <c r="C5" s="8" t="s">
        <v>27</v>
      </c>
      <c r="D5" s="8" t="s">
        <v>27</v>
      </c>
      <c r="E5" s="8" t="s">
        <v>28</v>
      </c>
      <c r="G5" s="6" t="s">
        <v>7</v>
      </c>
      <c r="H5" s="12">
        <f>'Breakeven 7M'!E18</f>
        <v>61600.0</v>
      </c>
      <c r="I5" s="12">
        <f>'Breakeven 7M'!F18</f>
        <v>79800.0</v>
      </c>
      <c r="J5" s="12">
        <f>'Breakeven 7M'!G18</f>
        <v>98600.0</v>
      </c>
      <c r="K5" s="12">
        <f>'Breakeven 7M'!H18</f>
        <v>118000.0</v>
      </c>
      <c r="L5" s="12">
        <f>'Breakeven 7M'!I18</f>
        <v>132000.0</v>
      </c>
      <c r="M5" s="12">
        <f>'Breakeven 7M'!J18</f>
        <v>148800.0</v>
      </c>
      <c r="N5" s="12">
        <f>'Breakeven 7M'!K18</f>
        <v>164818.18259999994</v>
      </c>
    </row>
    <row r="6" spans="1:14">
      <c r="A6" s="8" t="s">
        <v>30</v>
      </c>
      <c r="B6" s="21">
        <v>15595</v>
      </c>
      <c r="C6" s="9">
        <v>2.938571697757678</v>
      </c>
      <c r="D6" s="8" t="s">
        <v>27</v>
      </c>
      <c r="E6" s="8" t="s">
        <v>31</v>
      </c>
      <c r="G6" s="6" t="s">
        <v>79</v>
      </c>
      <c r="H6" s="12">
        <f>'Breakeven 7M'!E15</f>
        <v>296.5876454293629</v>
      </c>
      <c r="I6" s="12">
        <f>'Breakeven 7M'!F15</f>
        <v>299.5535218836565</v>
      </c>
      <c r="J6" s="12">
        <f>'Breakeven 7M'!G15</f>
        <v>302.5490571024931</v>
      </c>
      <c r="K6" s="12">
        <f>'Breakeven 7M'!H15</f>
        <v>305.57454767351805</v>
      </c>
      <c r="L6" s="12">
        <f>'Breakeven 7M'!I15</f>
        <v>308.63029315025324</v>
      </c>
      <c r="M6" s="12">
        <f>'Breakeven 7M'!J15</f>
        <v>311.71659608175577</v>
      </c>
      <c r="N6" s="12">
        <f>'Breakeven 7M'!K15</f>
        <v>314.83376204257337</v>
      </c>
    </row>
    <row r="7" spans="1:14">
      <c r="A7" s="8" t="s">
        <v>32</v>
      </c>
      <c r="B7" s="21">
        <v>4223</v>
      </c>
      <c r="C7" s="9">
        <v>0.7957414735255323</v>
      </c>
      <c r="D7" s="9">
        <v>0.9095749016884676</v>
      </c>
      <c r="E7" s="8" t="s">
        <v>33</v>
      </c>
      <c r="G7" s="6" t="s">
        <v>41</v>
      </c>
      <c r="H7" s="14">
        <f>'Breakeven 7M'!E11</f>
        <v>207.69577205693494</v>
      </c>
      <c r="I7" s="14">
        <f>'Breakeven 7M'!F11</f>
        <v>266.39646730975005</v>
      </c>
      <c r="J7" s="14">
        <f>'Breakeven 7M'!G11</f>
        <v>325.8975616856665</v>
      </c>
      <c r="K7" s="14">
        <f>'Breakeven 7M'!H11</f>
        <v>386.157816147939</v>
      </c>
      <c r="L7" s="14">
        <f>'Breakeven 7M'!I11</f>
        <v>427.6961883833525</v>
      </c>
      <c r="M7" s="14">
        <f>'Breakeven 7M'!J11</f>
        <v>477.35668190401174</v>
      </c>
      <c r="N7" s="14">
        <f>'Breakeven 7M'!K11</f>
        <v>523.5086019069087</v>
      </c>
    </row>
    <row r="8" spans="1:14">
      <c r="A8" s="8" t="s">
        <v>34</v>
      </c>
      <c r="B8" s="21">
        <v>187</v>
      </c>
      <c r="C8" s="9">
        <v>0.04428131659957376</v>
      </c>
      <c r="D8" s="9">
        <v>0.1601184601300224</v>
      </c>
      <c r="E8" s="8" t="s">
        <v>33</v>
      </c>
      <c r="G8" s="6" t="s">
        <v>34</v>
      </c>
      <c r="H8" s="14">
        <f>H6/'Premissas'!F17</f>
        <v>369.89627975854125</v>
      </c>
      <c r="I8" s="14">
        <f>I6/'Premissas'!G17</f>
        <v>474.43942273260245</v>
      </c>
      <c r="J8" s="14">
        <f>J6/'Premissas'!H17</f>
        <v>580.4080384306632</v>
      </c>
      <c r="K8" s="14">
        <f>K6/'Premissas'!I17</f>
        <v>687.7286820920438</v>
      </c>
      <c r="L8" s="14">
        <f>L6/'Premissas'!J17</f>
        <v>761.7065450255897</v>
      </c>
      <c r="M8" s="14">
        <f>M6/'Premissas'!K17</f>
        <v>850.149519200478</v>
      </c>
      <c r="N8" s="14">
        <f>N6/'Premissas'!L17</f>
        <v>932.3438910151611</v>
      </c>
    </row>
    <row r="9" spans="1:14">
      <c r="A9" s="8" t="s">
        <v>35</v>
      </c>
      <c r="B9" s="21">
        <v>306</v>
      </c>
      <c r="C9" s="9">
        <v>1.636363636363636</v>
      </c>
      <c r="D9" s="9">
        <v>0.6126984126984127</v>
      </c>
      <c r="E9" s="13" t="s">
        <v>36</v>
      </c>
      <c r="G9" s="6" t="s">
        <v>32</v>
      </c>
      <c r="H9" s="14">
        <f>H7/'Premissas'!F16</f>
        <v>8219.917327967583</v>
      </c>
      <c r="I9" s="14">
        <f>I7/'Premissas'!G16</f>
        <v>10094.455802821329</v>
      </c>
      <c r="J9" s="14">
        <f>J7/'Premissas'!H16</f>
        <v>11845.062008789044</v>
      </c>
      <c r="K9" s="14">
        <f>K7/'Premissas'!I16</f>
        <v>13484.87611945184</v>
      </c>
      <c r="L9" s="14">
        <f>L7/'Premissas'!J16</f>
        <v>14371.821604256409</v>
      </c>
      <c r="M9" s="14">
        <f>M7/'Premissas'!K16</f>
        <v>15457.263985463236</v>
      </c>
      <c r="N9" s="14">
        <f>N7/'Premissas'!L16</f>
        <v>15937.502410515574</v>
      </c>
    </row>
    <row r="10" spans="1:14">
      <c r="A10" s="8" t="s">
        <v>37</v>
      </c>
      <c r="B10" s="21">
        <v>223</v>
      </c>
      <c r="C10" s="9">
        <v>0.7287581699346405</v>
      </c>
      <c r="D10" s="9">
        <v>0.4220655188654561</v>
      </c>
      <c r="E10" s="8" t="s">
        <v>33</v>
      </c>
      <c r="G10" s="6" t="s">
        <v>4</v>
      </c>
      <c r="H10" s="14">
        <f>H8/'Premissas'!F15</f>
        <v>10274.896659959479</v>
      </c>
      <c r="I10" s="14">
        <f>I8/'Premissas'!G15</f>
        <v>12310.311954660157</v>
      </c>
      <c r="J10" s="14">
        <f>J8/'Premissas'!H15</f>
        <v>14101.264296177435</v>
      </c>
      <c r="K10" s="14">
        <f>K8/'Premissas'!I15</f>
        <v>15680.08851099051</v>
      </c>
      <c r="L10" s="14">
        <f>L8/'Premissas'!J15</f>
        <v>16331.615459382283</v>
      </c>
      <c r="M10" s="14">
        <f>M8/'Premissas'!K15</f>
        <v>17367.712343217117</v>
      </c>
      <c r="N10" s="14">
        <f>N8/'Premissas'!L15</f>
        <v>17708.33601168397</v>
      </c>
    </row>
    <row r="11" spans="1:14">
      <c r="A11" s="8" t="s">
        <v>38</v>
      </c>
      <c r="B11" s="21">
        <v>495</v>
      </c>
      <c r="C11" s="9">
        <v>2.219730941704036</v>
      </c>
      <c r="D11" s="9">
        <v>0.9897540983606558</v>
      </c>
      <c r="E11" s="13" t="s">
        <v>39</v>
      </c>
      <c r="G11" s="6" t="s">
        <v>175</v>
      </c>
      <c r="H11" s="14">
        <f>H9*($B$6/$B$5)</f>
        <v>30193.520522341823</v>
      </c>
      <c r="I11" s="14">
        <f>I9*($B$6/$B$5)</f>
        <v>36174.73430053234</v>
      </c>
      <c r="J11" s="14">
        <f>J9*($B$6/$B$5)</f>
        <v>41437.576163347854</v>
      </c>
      <c r="K11" s="14">
        <f>K9*($B$6/$B$5)</f>
        <v>46077.06431673205</v>
      </c>
      <c r="L11" s="14">
        <f>L9*($B$6/$B$5)</f>
        <v>47991.62296760254</v>
      </c>
      <c r="M11" s="14">
        <f>M9*($B$6/$B$5)</f>
        <v>51036.26794657451</v>
      </c>
      <c r="N11" s="14">
        <f>N9*($B$6/$B$5)</f>
        <v>52037.21501831759</v>
      </c>
    </row>
    <row r="12" spans="1:14">
      <c r="A12" s="8" t="s">
        <v>40</v>
      </c>
      <c r="B12" s="21">
        <v>327</v>
      </c>
      <c r="C12" s="9">
        <v>0.6606060606060606</v>
      </c>
      <c r="D12" s="9">
        <v>0.6882672882672882</v>
      </c>
      <c r="E12" s="8" t="s">
        <v>33</v>
      </c>
      <c r="G12" s="6" t="s">
        <v>176</v>
      </c>
      <c r="H12" s="15">
        <f>'Breakeven 7M'!E13</f>
        <v>0.020213903743315508</v>
      </c>
      <c r="I12" s="15">
        <f>'Breakeven 7M'!F13</f>
        <v>0.021640106951871657</v>
      </c>
      <c r="J12" s="15">
        <f>'Breakeven 7M'!G13</f>
        <v>0.023111229946524068</v>
      </c>
      <c r="K12" s="15">
        <f>'Breakeven 7M'!H13</f>
        <v>0.024627272727272727</v>
      </c>
      <c r="L12" s="15">
        <f>'Breakeven 7M'!I13</f>
        <v>0.026188235294117648</v>
      </c>
      <c r="M12" s="15">
        <f>'Breakeven 7M'!J13</f>
        <v>0.02748529411764706</v>
      </c>
      <c r="N12" s="15">
        <f>'Breakeven 7M'!K13</f>
        <v>0.029562834224598933</v>
      </c>
    </row>
    <row r="13" spans="1:14">
      <c r="A13" s="8" t="s">
        <v>41</v>
      </c>
      <c r="B13" s="21">
        <v>105</v>
      </c>
      <c r="C13" s="9">
        <v>0.3211009174311927</v>
      </c>
      <c r="D13" s="9">
        <v>0.5382304311005364</v>
      </c>
      <c r="E13" s="8" t="s">
        <v>33</v>
      </c>
      <c r="G13" s="6" t="s">
        <v>177</v>
      </c>
      <c r="H13" s="12">
        <f>'Breakeven 7M'!E6</f>
        <v>0.48662289903942624</v>
      </c>
      <c r="I13" s="12">
        <f>'Breakeven 7M'!F6</f>
        <v>0.40616354958472145</v>
      </c>
      <c r="J13" s="12">
        <f>'Breakeven 7M'!G6</f>
        <v>0.3545781353346734</v>
      </c>
      <c r="K13" s="12">
        <f>'Breakeven 7M'!H6</f>
        <v>0.31887575101986143</v>
      </c>
      <c r="L13" s="12">
        <f>'Breakeven 7M'!I6</f>
        <v>0.3061546490875507</v>
      </c>
      <c r="M13" s="12">
        <f>'Breakeven 7M'!J6</f>
        <v>0.2878905351027838</v>
      </c>
      <c r="N13" s="12">
        <f>'Breakeven 7M'!K6</f>
        <v>0.2823528984711492</v>
      </c>
    </row>
    <row r="14" spans="1:14">
      <c r="A14" s="6" t="s">
        <v>42</v>
      </c>
      <c r="B14" s="15">
        <f>B13/B5</f>
        <v>0.01978518937252685</v>
      </c>
      <c r="C14" s="9">
        <v>0.01978518937252685</v>
      </c>
      <c r="D14" s="9">
        <v>0.01842634177703146</v>
      </c>
      <c r="E14" s="8" t="s">
        <v>172</v>
      </c>
      <c r="G14" s="6" t="s">
        <v>178</v>
      </c>
      <c r="H14" s="12">
        <f>'Breakeven 7M'!E12</f>
        <v>24.07367251861712</v>
      </c>
      <c r="I14" s="12">
        <f>'Breakeven 7M'!F12</f>
        <v>18.76901766188324</v>
      </c>
      <c r="J14" s="12">
        <f>'Breakeven 7M'!G12</f>
        <v>15.342244274974297</v>
      </c>
      <c r="K14" s="12">
        <f>'Breakeven 7M'!H12</f>
        <v>12.948074053962628</v>
      </c>
      <c r="L14" s="12">
        <f>'Breakeven 7M'!I12</f>
        <v>11.690541407206561</v>
      </c>
      <c r="M14" s="12">
        <f>'Breakeven 7M'!J12</f>
        <v>10.474347986618138</v>
      </c>
      <c r="N14" s="12">
        <f>'Breakeven 7M'!K12</f>
        <v>9.550941439715082</v>
      </c>
    </row>
    <row r="16" spans="1:14">
      <c r="A16" s="10" t="s">
        <v>173</v>
      </c>
      <c r="B16" s="10"/>
      <c r="C16" s="10"/>
      <c r="D16" s="10"/>
      <c r="E16" s="10"/>
      <c r="G16" s="4" t="s">
        <v>179</v>
      </c>
      <c r="H16" s="4"/>
      <c r="I16" s="4"/>
      <c r="J16" s="4"/>
      <c r="K16" s="4"/>
      <c r="L16" s="4"/>
      <c r="M16" s="4"/>
      <c r="N16" s="4"/>
    </row>
    <row r="17" spans="1:14">
      <c r="A17" s="10"/>
      <c r="B17" s="10"/>
      <c r="C17" s="10"/>
      <c r="D17" s="10"/>
      <c r="E17" s="10"/>
      <c r="G17" s="6" t="s">
        <v>50</v>
      </c>
      <c r="H17" s="15">
        <f>'Premissas'!F15</f>
        <v>0.8</v>
      </c>
      <c r="I17" s="15">
        <f>'Premissas'!G15</f>
        <v>0.82</v>
      </c>
      <c r="J17" s="15">
        <f>'Premissas'!H15</f>
        <v>0.84</v>
      </c>
      <c r="K17" s="15">
        <f>'Premissas'!I15</f>
        <v>0.86</v>
      </c>
      <c r="L17" s="15">
        <f>'Premissas'!J15</f>
        <v>0.88</v>
      </c>
      <c r="M17" s="15">
        <f>'Premissas'!K15</f>
        <v>0.89</v>
      </c>
      <c r="N17" s="15">
        <f>'Premissas'!L15</f>
        <v>0.9</v>
      </c>
    </row>
    <row r="18" spans="1:14">
      <c r="A18" s="10"/>
      <c r="B18" s="10"/>
      <c r="C18" s="10"/>
      <c r="D18" s="10"/>
      <c r="E18" s="10"/>
      <c r="G18" s="6" t="s">
        <v>180</v>
      </c>
      <c r="H18" s="15">
        <f>'Premissas'!F16</f>
        <v>0.045</v>
      </c>
      <c r="I18" s="15">
        <f>'Premissas'!G16</f>
        <v>0.047</v>
      </c>
      <c r="J18" s="15">
        <f>'Premissas'!H16</f>
        <v>0.049</v>
      </c>
      <c r="K18" s="15">
        <f>'Premissas'!I16</f>
        <v>0.051</v>
      </c>
      <c r="L18" s="15">
        <f>'Premissas'!J16</f>
        <v>0.053</v>
      </c>
      <c r="M18" s="15">
        <f>'Premissas'!K16</f>
        <v>0.055</v>
      </c>
      <c r="N18" s="15">
        <f>'Premissas'!L16</f>
        <v>0.0585</v>
      </c>
    </row>
    <row r="19" spans="1:14">
      <c r="G19" s="6" t="s">
        <v>181</v>
      </c>
      <c r="H19" s="15">
        <f>'Premissas'!F17</f>
        <v>0.5614973262032086</v>
      </c>
      <c r="I19" s="15">
        <f>'Premissas'!G17</f>
        <v>0.5614973262032086</v>
      </c>
      <c r="J19" s="15">
        <f>'Premissas'!H17</f>
        <v>0.5614973262032086</v>
      </c>
      <c r="K19" s="15">
        <f>'Premissas'!I17</f>
        <v>0.5614973262032086</v>
      </c>
      <c r="L19" s="15">
        <f>'Premissas'!J17</f>
        <v>0.5614973262032086</v>
      </c>
      <c r="M19" s="15">
        <f>'Premissas'!K17</f>
        <v>0.5614973262032086</v>
      </c>
      <c r="N19" s="15">
        <f>'Premissas'!L17</f>
        <v>0.5614973262032086</v>
      </c>
    </row>
    <row r="21" spans="1:14">
      <c r="G21" s="10" t="s">
        <v>182</v>
      </c>
      <c r="H21" s="10"/>
      <c r="I21" s="10"/>
      <c r="J21" s="10"/>
      <c r="K21" s="10"/>
      <c r="L21" s="10"/>
      <c r="M21" s="10"/>
      <c r="N21" s="10"/>
    </row>
    <row r="22" spans="1:14">
      <c r="G22" s="10"/>
      <c r="H22" s="10"/>
      <c r="I22" s="10"/>
      <c r="J22" s="10"/>
      <c r="K22" s="10"/>
      <c r="L22" s="10"/>
      <c r="M22" s="10"/>
      <c r="N22" s="10"/>
    </row>
    <row r="23" spans="1:14">
      <c r="G23" s="10"/>
      <c r="H23" s="10"/>
      <c r="I23" s="10"/>
      <c r="J23" s="10"/>
      <c r="K23" s="10"/>
      <c r="L23" s="10"/>
      <c r="M23" s="10"/>
      <c r="N23" s="10"/>
    </row>
  </sheetData>
  <mergeCells count="6">
    <mergeCell ref="A1:N1"/>
    <mergeCell ref="A3:E3"/>
    <mergeCell ref="A16:E18"/>
    <mergeCell ref="G3:N3"/>
    <mergeCell ref="G16:N16"/>
    <mergeCell ref="G21:N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F9000"/>
  </sheetPr>
  <dimension ref="A1:L2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2" width="20.7109375" customWidth="1"/>
    <col min="3" max="3" width="54.7109375" customWidth="1"/>
    <col min="5" max="11" width="15.7109375" customWidth="1"/>
  </cols>
  <sheetData>
    <row r="1" spans="1:12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2">
      <c r="A3" s="4" t="s">
        <v>60</v>
      </c>
      <c r="B3" s="4"/>
      <c r="C3" s="4"/>
      <c r="E3" s="4" t="s">
        <v>87</v>
      </c>
      <c r="F3" s="4"/>
      <c r="G3" s="4"/>
      <c r="H3" s="4"/>
      <c r="I3" s="4"/>
      <c r="J3" s="4"/>
      <c r="K3" s="4"/>
    </row>
    <row r="4" spans="1:12">
      <c r="A4" s="6" t="s">
        <v>61</v>
      </c>
      <c r="B4" s="22" t="s">
        <v>62</v>
      </c>
      <c r="C4" s="8" t="s">
        <v>63</v>
      </c>
      <c r="E4" s="6" t="s">
        <v>88</v>
      </c>
      <c r="F4" s="18">
        <v>5500</v>
      </c>
      <c r="G4" s="8"/>
      <c r="H4" s="8"/>
      <c r="I4" s="8"/>
      <c r="J4" s="8"/>
      <c r="K4" s="8"/>
    </row>
    <row r="5" spans="1:12">
      <c r="A5" s="6" t="s">
        <v>64</v>
      </c>
      <c r="B5" s="22" t="s">
        <v>44</v>
      </c>
      <c r="C5" s="8" t="s">
        <v>65</v>
      </c>
      <c r="E5" s="6" t="s">
        <v>89</v>
      </c>
      <c r="F5" s="18">
        <v>5000</v>
      </c>
      <c r="G5" s="8"/>
      <c r="H5" s="8"/>
      <c r="I5" s="8"/>
      <c r="J5" s="8"/>
      <c r="K5" s="8"/>
    </row>
    <row r="6" spans="1:12">
      <c r="A6" s="6" t="s">
        <v>66</v>
      </c>
      <c r="B6" s="14">
        <f>COUNTA('Dados Fonte'!A4:A11)</f>
        <v>8</v>
      </c>
      <c r="C6" s="8" t="s">
        <v>67</v>
      </c>
      <c r="E6" s="6" t="s">
        <v>90</v>
      </c>
      <c r="F6" s="23">
        <v>7</v>
      </c>
      <c r="G6" s="8"/>
      <c r="H6" s="8"/>
      <c r="I6" s="8"/>
      <c r="J6" s="8"/>
      <c r="K6" s="8"/>
    </row>
    <row r="7" spans="1:12">
      <c r="A7" s="6" t="s">
        <v>68</v>
      </c>
      <c r="B7" s="12">
        <f>'Dados Fonte'!B12</f>
        <v>44000.0</v>
      </c>
      <c r="C7" s="8" t="s">
        <v>69</v>
      </c>
      <c r="E7" s="6" t="s">
        <v>91</v>
      </c>
      <c r="F7" s="17">
        <v>0.15</v>
      </c>
      <c r="G7" s="8"/>
      <c r="H7" s="8"/>
      <c r="I7" s="8"/>
      <c r="J7" s="8"/>
      <c r="K7" s="8"/>
    </row>
    <row r="8" spans="1:12">
      <c r="A8" s="6" t="s">
        <v>70</v>
      </c>
      <c r="B8" s="12">
        <f>'Dados Fonte'!C12</f>
        <v>35163.16939</v>
      </c>
      <c r="C8" s="8" t="s">
        <v>71</v>
      </c>
      <c r="E8" s="6" t="s">
        <v>92</v>
      </c>
      <c r="F8" s="12">
        <f>(F4+F5)/F7</f>
        <v>70000.0</v>
      </c>
      <c r="G8" s="8"/>
      <c r="H8" s="8"/>
      <c r="I8" s="8"/>
      <c r="J8" s="8"/>
      <c r="K8" s="8"/>
    </row>
    <row r="9" spans="1:12">
      <c r="A9" s="6" t="s">
        <v>72</v>
      </c>
      <c r="B9" s="12">
        <f>B7+B8</f>
        <v>79163.16939</v>
      </c>
      <c r="C9" s="8" t="s">
        <v>73</v>
      </c>
      <c r="E9" s="6" t="s">
        <v>93</v>
      </c>
      <c r="F9" s="12">
        <f>(F4+F5)*F6</f>
        <v>73500.0</v>
      </c>
      <c r="G9" s="8"/>
      <c r="H9" s="8"/>
      <c r="I9" s="8"/>
      <c r="J9" s="8"/>
      <c r="K9" s="8"/>
    </row>
    <row r="10" spans="1:12">
      <c r="A10" s="6" t="s">
        <v>74</v>
      </c>
      <c r="B10" s="12">
        <f>'Dados Fonte'!G12</f>
        <v>214136.28000000003</v>
      </c>
      <c r="C10" s="8" t="s">
        <v>75</v>
      </c>
      <c r="E10" s="6" t="s">
        <v>94</v>
      </c>
      <c r="F10" s="12">
        <f>(ABS(B17)+F9)/F7</f>
        <v>803618.1826</v>
      </c>
      <c r="G10" s="8"/>
      <c r="H10" s="8"/>
      <c r="I10" s="8"/>
      <c r="J10" s="8"/>
      <c r="K10" s="8"/>
    </row>
    <row r="11" spans="1:12">
      <c r="A11" s="6" t="s">
        <v>76</v>
      </c>
      <c r="B11" s="14">
        <f>'Dados Fonte'!D12</f>
        <v>44452</v>
      </c>
      <c r="C11" s="8" t="s">
        <v>66</v>
      </c>
    </row>
    <row r="12" spans="1:12">
      <c r="A12" s="6" t="s">
        <v>77</v>
      </c>
      <c r="B12" s="14">
        <f>'Dados Fonte'!E12</f>
        <v>867</v>
      </c>
      <c r="C12" s="8" t="s">
        <v>66</v>
      </c>
      <c r="E12" s="4" t="s">
        <v>95</v>
      </c>
      <c r="F12" s="4"/>
      <c r="G12" s="4"/>
      <c r="H12" s="4"/>
      <c r="I12" s="4"/>
      <c r="J12" s="4"/>
      <c r="K12" s="4"/>
    </row>
    <row r="13" spans="1:12">
      <c r="A13" s="6" t="s">
        <v>78</v>
      </c>
      <c r="B13" s="14">
        <f>'Dados Fonte'!F12</f>
        <v>722</v>
      </c>
      <c r="C13" s="8" t="s">
        <v>66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101</v>
      </c>
      <c r="K13" s="5" t="s">
        <v>102</v>
      </c>
      <c r="L13" s="5" t="s">
        <v>103</v>
      </c>
    </row>
    <row r="14" spans="1:12">
      <c r="A14" s="6" t="s">
        <v>79</v>
      </c>
      <c r="B14" s="12">
        <f>B10/B13</f>
        <v>296.5876454293629</v>
      </c>
      <c r="C14" s="8" t="s">
        <v>80</v>
      </c>
      <c r="E14" s="6" t="s">
        <v>104</v>
      </c>
      <c r="F14" s="18">
        <v>61600</v>
      </c>
      <c r="G14" s="18">
        <v>79800</v>
      </c>
      <c r="H14" s="18">
        <v>98600</v>
      </c>
      <c r="I14" s="18">
        <v>118000</v>
      </c>
      <c r="J14" s="18">
        <v>132000</v>
      </c>
      <c r="K14" s="18">
        <v>148800</v>
      </c>
      <c r="L14" s="12">
        <f>F10-SUM(F14:K14)</f>
        <v>164818.18259999994</v>
      </c>
    </row>
    <row r="15" spans="1:12">
      <c r="A15" s="6" t="s">
        <v>81</v>
      </c>
      <c r="B15" s="17">
        <v>0.15</v>
      </c>
      <c r="C15" s="8" t="s">
        <v>82</v>
      </c>
      <c r="E15" s="6" t="s">
        <v>105</v>
      </c>
      <c r="F15" s="17">
        <v>0.8</v>
      </c>
      <c r="G15" s="17">
        <v>0.82</v>
      </c>
      <c r="H15" s="17">
        <v>0.84</v>
      </c>
      <c r="I15" s="17">
        <v>0.86</v>
      </c>
      <c r="J15" s="17">
        <v>0.88</v>
      </c>
      <c r="K15" s="17">
        <v>0.89</v>
      </c>
      <c r="L15" s="17">
        <v>0.9</v>
      </c>
    </row>
    <row r="16" spans="1:12">
      <c r="A16" s="6" t="s">
        <v>83</v>
      </c>
      <c r="B16" s="12">
        <f>B10*B15</f>
        <v>32120.442000000003</v>
      </c>
      <c r="C16" s="8" t="s">
        <v>84</v>
      </c>
      <c r="E16" s="6" t="s">
        <v>106</v>
      </c>
      <c r="F16" s="17">
        <v>0.045</v>
      </c>
      <c r="G16" s="17">
        <v>0.047</v>
      </c>
      <c r="H16" s="17">
        <v>0.049</v>
      </c>
      <c r="I16" s="17">
        <v>0.051</v>
      </c>
      <c r="J16" s="17">
        <v>0.053</v>
      </c>
      <c r="K16" s="17">
        <v>0.055</v>
      </c>
      <c r="L16" s="17">
        <v>0.0585</v>
      </c>
    </row>
    <row r="17" spans="1:12">
      <c r="A17" s="6" t="s">
        <v>85</v>
      </c>
      <c r="B17" s="12">
        <f>B16-B9</f>
        <v>-47042.72738999999</v>
      </c>
      <c r="C17" s="8" t="s">
        <v>86</v>
      </c>
      <c r="E17" s="6" t="s">
        <v>107</v>
      </c>
      <c r="F17" s="17">
        <v>0.5614973262032086</v>
      </c>
      <c r="G17" s="17">
        <v>0.5614973262032086</v>
      </c>
      <c r="H17" s="17">
        <v>0.5614973262032086</v>
      </c>
      <c r="I17" s="17">
        <v>0.5614973262032086</v>
      </c>
      <c r="J17" s="17">
        <v>0.5614973262032086</v>
      </c>
      <c r="K17" s="17">
        <v>0.5614973262032086</v>
      </c>
      <c r="L17" s="17">
        <v>0.5614973262032086</v>
      </c>
    </row>
    <row r="18" spans="1:12">
      <c r="E18" s="6" t="s">
        <v>108</v>
      </c>
      <c r="F18" s="17">
        <v>0.8327566320645905</v>
      </c>
      <c r="G18" s="17">
        <v>0.8356305267204921</v>
      </c>
      <c r="H18" s="17">
        <v>0.8385044213763937</v>
      </c>
      <c r="I18" s="17">
        <v>0.8413783160322952</v>
      </c>
      <c r="J18" s="17">
        <v>0.8442522106881968</v>
      </c>
      <c r="K18" s="17">
        <v>0.8471261053440984</v>
      </c>
      <c r="L18" s="17">
        <v>0.85</v>
      </c>
    </row>
    <row r="20" spans="1:12">
      <c r="A20" s="10" t="s">
        <v>109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</sheetData>
  <mergeCells count="12">
    <mergeCell ref="A1:K1"/>
    <mergeCell ref="A3:C3"/>
    <mergeCell ref="E3:K3"/>
    <mergeCell ref="G4:K4"/>
    <mergeCell ref="G5:K5"/>
    <mergeCell ref="G6:K6"/>
    <mergeCell ref="G7:K7"/>
    <mergeCell ref="G8:K8"/>
    <mergeCell ref="G9:K9"/>
    <mergeCell ref="G10:K10"/>
    <mergeCell ref="E12:K12"/>
    <mergeCell ref="A20:K22"/>
  </mergeCells>
  <dataValidations count="3">
    <dataValidation type="decimal" operator="greaterThan" allowBlank="1" showInputMessage="1" showErrorMessage="1" sqref="F4:F7">
      <formula1>0</formula1>
    </dataValidation>
    <dataValidation type="decimal" operator="greaterThan" allowBlank="1" showInputMessage="1" showErrorMessage="1" sqref="F14:L14">
      <formula1>0</formula1>
    </dataValidation>
    <dataValidation type="decimal" allowBlank="1" showInputMessage="1" showErrorMessage="1" sqref="F15:L18">
      <formula1>0</formula1>
      <formula2>1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43B53"/>
  </sheetPr>
  <dimension ref="A1:I6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4" width="19.7109375" customWidth="1"/>
    <col min="5" max="7" width="17.7109375" customWidth="1"/>
    <col min="8" max="8" width="24.7109375" customWidth="1"/>
    <col min="9" max="9" width="18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9">
      <c r="A4" s="8" t="s">
        <v>9</v>
      </c>
      <c r="B4" s="7">
        <v>5500</v>
      </c>
      <c r="C4" s="7">
        <v>3635.07</v>
      </c>
      <c r="D4" s="21">
        <v>6645</v>
      </c>
      <c r="E4" s="21">
        <v>128</v>
      </c>
      <c r="F4" s="21">
        <v>104</v>
      </c>
      <c r="G4" s="7">
        <v>27215.28</v>
      </c>
      <c r="H4" s="8" t="s">
        <v>10</v>
      </c>
    </row>
    <row r="5" spans="1:9">
      <c r="A5" s="8" t="s">
        <v>11</v>
      </c>
      <c r="B5" s="7">
        <v>5500</v>
      </c>
      <c r="C5" s="7">
        <v>4325.19</v>
      </c>
      <c r="D5" s="21">
        <v>5415</v>
      </c>
      <c r="E5" s="21">
        <v>128</v>
      </c>
      <c r="F5" s="21">
        <v>107</v>
      </c>
      <c r="G5" s="7">
        <v>28908.6</v>
      </c>
      <c r="H5" s="8" t="s">
        <v>10</v>
      </c>
    </row>
    <row r="6" spans="1:9">
      <c r="A6" s="8" t="s">
        <v>12</v>
      </c>
      <c r="B6" s="7">
        <v>5500</v>
      </c>
      <c r="C6" s="7">
        <v>4503.52682</v>
      </c>
      <c r="D6" s="21">
        <v>5735</v>
      </c>
      <c r="E6" s="21">
        <v>117</v>
      </c>
      <c r="F6" s="21">
        <v>96</v>
      </c>
      <c r="G6" s="7">
        <v>35238.68</v>
      </c>
      <c r="H6" s="8" t="s">
        <v>10</v>
      </c>
    </row>
    <row r="7" spans="1:9">
      <c r="A7" s="8" t="s">
        <v>13</v>
      </c>
      <c r="B7" s="7">
        <v>5500</v>
      </c>
      <c r="C7" s="7">
        <v>5047.652545</v>
      </c>
      <c r="D7" s="21">
        <v>7340</v>
      </c>
      <c r="E7" s="21">
        <v>87</v>
      </c>
      <c r="F7" s="21">
        <v>71</v>
      </c>
      <c r="G7" s="7">
        <v>18132.38</v>
      </c>
      <c r="H7" s="8" t="s">
        <v>10</v>
      </c>
    </row>
    <row r="8" spans="1:9">
      <c r="A8" s="8" t="s">
        <v>14</v>
      </c>
      <c r="B8" s="7">
        <v>5500</v>
      </c>
      <c r="C8" s="7">
        <v>4963.856255</v>
      </c>
      <c r="D8" s="21">
        <v>6323</v>
      </c>
      <c r="E8" s="21">
        <v>123</v>
      </c>
      <c r="F8" s="21">
        <v>101</v>
      </c>
      <c r="G8" s="7">
        <v>30923.47</v>
      </c>
      <c r="H8" s="8" t="s">
        <v>10</v>
      </c>
    </row>
    <row r="9" spans="1:9">
      <c r="A9" s="8" t="s">
        <v>15</v>
      </c>
      <c r="B9" s="7">
        <v>5500</v>
      </c>
      <c r="C9" s="7">
        <v>4958.203765</v>
      </c>
      <c r="D9" s="21">
        <v>4878</v>
      </c>
      <c r="E9" s="21">
        <v>116</v>
      </c>
      <c r="F9" s="21">
        <v>98</v>
      </c>
      <c r="G9" s="7">
        <v>30903.38</v>
      </c>
      <c r="H9" s="8" t="s">
        <v>10</v>
      </c>
    </row>
    <row r="10" spans="1:9">
      <c r="A10" s="8" t="s">
        <v>16</v>
      </c>
      <c r="B10" s="7">
        <v>5500</v>
      </c>
      <c r="C10" s="7">
        <v>4934.827985</v>
      </c>
      <c r="D10" s="21">
        <v>5307</v>
      </c>
      <c r="E10" s="21">
        <v>112</v>
      </c>
      <c r="F10" s="21">
        <v>100</v>
      </c>
      <c r="G10" s="7">
        <v>30112.98</v>
      </c>
      <c r="H10" s="8" t="s">
        <v>10</v>
      </c>
    </row>
    <row r="11" spans="1:9">
      <c r="A11" s="8" t="s">
        <v>17</v>
      </c>
      <c r="B11" s="7">
        <v>5500</v>
      </c>
      <c r="C11" s="7">
        <v>2794.84202</v>
      </c>
      <c r="D11" s="21">
        <v>2809</v>
      </c>
      <c r="E11" s="21">
        <v>56</v>
      </c>
      <c r="F11" s="21">
        <v>45</v>
      </c>
      <c r="G11" s="7">
        <v>12701.51</v>
      </c>
      <c r="H11" s="8" t="s">
        <v>10</v>
      </c>
    </row>
    <row r="12" spans="1:9">
      <c r="A12" s="6" t="s">
        <v>18</v>
      </c>
      <c r="B12" s="7">
        <f>SUM(B4:B11)</f>
        <v>44000.0</v>
      </c>
      <c r="C12" s="7">
        <f>SUM(C4:C11)</f>
        <v>35163.16939</v>
      </c>
      <c r="D12" s="21">
        <f>SUM(D4:D11)</f>
        <v>44452</v>
      </c>
      <c r="E12" s="21">
        <f>SUM(E4:E11)</f>
        <v>867</v>
      </c>
      <c r="F12" s="21">
        <f>SUM(F4:F11)</f>
        <v>722</v>
      </c>
      <c r="G12" s="7">
        <f>SUM(G4:G11)</f>
        <v>214136.28000000003</v>
      </c>
      <c r="H12" s="6" t="s">
        <v>19</v>
      </c>
    </row>
    <row r="15" spans="1:9">
      <c r="A15" s="4" t="s">
        <v>20</v>
      </c>
      <c r="B15" s="4"/>
      <c r="C15" s="4"/>
      <c r="D15" s="4"/>
      <c r="E15" s="4"/>
      <c r="F15" s="4"/>
    </row>
    <row r="16" spans="1:9">
      <c r="A16" s="5" t="s">
        <v>21</v>
      </c>
      <c r="B16" s="5" t="s">
        <v>22</v>
      </c>
      <c r="C16" s="5" t="s">
        <v>23</v>
      </c>
      <c r="D16" s="5" t="s">
        <v>24</v>
      </c>
      <c r="E16" s="5" t="s">
        <v>25</v>
      </c>
      <c r="F16" s="5" t="s">
        <v>26</v>
      </c>
    </row>
    <row r="17" spans="1:9">
      <c r="A17" s="8" t="s">
        <v>4</v>
      </c>
      <c r="B17" s="21">
        <v>5307</v>
      </c>
      <c r="C17" s="8" t="s">
        <v>27</v>
      </c>
      <c r="D17" s="8" t="s">
        <v>27</v>
      </c>
      <c r="E17" s="8" t="s">
        <v>28</v>
      </c>
      <c r="F17" s="8" t="s">
        <v>29</v>
      </c>
    </row>
    <row r="18" spans="1:9">
      <c r="A18" s="8" t="s">
        <v>30</v>
      </c>
      <c r="B18" s="21">
        <v>15595</v>
      </c>
      <c r="C18" s="9">
        <v>2.938571697757678</v>
      </c>
      <c r="D18" s="8" t="s">
        <v>27</v>
      </c>
      <c r="E18" s="8" t="s">
        <v>31</v>
      </c>
      <c r="F18" s="8" t="s">
        <v>29</v>
      </c>
    </row>
    <row r="19" spans="1:9">
      <c r="A19" s="8" t="s">
        <v>32</v>
      </c>
      <c r="B19" s="21">
        <v>4223</v>
      </c>
      <c r="C19" s="9">
        <v>0.7957414735255323</v>
      </c>
      <c r="D19" s="9">
        <v>0.9095749016884676</v>
      </c>
      <c r="E19" s="8" t="s">
        <v>33</v>
      </c>
      <c r="F19" s="8" t="s">
        <v>29</v>
      </c>
    </row>
    <row r="20" spans="1:9">
      <c r="A20" s="8" t="s">
        <v>34</v>
      </c>
      <c r="B20" s="21">
        <v>187</v>
      </c>
      <c r="C20" s="9">
        <v>0.04428131659957376</v>
      </c>
      <c r="D20" s="9">
        <v>0.1601184601300224</v>
      </c>
      <c r="E20" s="8" t="s">
        <v>33</v>
      </c>
      <c r="F20" s="8" t="s">
        <v>29</v>
      </c>
    </row>
    <row r="21" spans="1:9">
      <c r="A21" s="8" t="s">
        <v>35</v>
      </c>
      <c r="B21" s="21">
        <v>306</v>
      </c>
      <c r="C21" s="9">
        <v>1.636363636363636</v>
      </c>
      <c r="D21" s="9">
        <v>0.6126984126984127</v>
      </c>
      <c r="E21" s="13" t="s">
        <v>36</v>
      </c>
      <c r="F21" s="8" t="s">
        <v>29</v>
      </c>
    </row>
    <row r="22" spans="1:9">
      <c r="A22" s="8" t="s">
        <v>37</v>
      </c>
      <c r="B22" s="21">
        <v>223</v>
      </c>
      <c r="C22" s="9">
        <v>0.7287581699346405</v>
      </c>
      <c r="D22" s="9">
        <v>0.4220655188654561</v>
      </c>
      <c r="E22" s="8" t="s">
        <v>33</v>
      </c>
      <c r="F22" s="8" t="s">
        <v>29</v>
      </c>
    </row>
    <row r="23" spans="1:9">
      <c r="A23" s="8" t="s">
        <v>38</v>
      </c>
      <c r="B23" s="21">
        <v>495</v>
      </c>
      <c r="C23" s="9">
        <v>2.219730941704036</v>
      </c>
      <c r="D23" s="9">
        <v>0.9897540983606558</v>
      </c>
      <c r="E23" s="13" t="s">
        <v>39</v>
      </c>
      <c r="F23" s="8" t="s">
        <v>29</v>
      </c>
    </row>
    <row r="24" spans="1:9">
      <c r="A24" s="8" t="s">
        <v>40</v>
      </c>
      <c r="B24" s="21">
        <v>327</v>
      </c>
      <c r="C24" s="9">
        <v>0.6606060606060606</v>
      </c>
      <c r="D24" s="9">
        <v>0.6882672882672882</v>
      </c>
      <c r="E24" s="8" t="s">
        <v>33</v>
      </c>
      <c r="F24" s="8" t="s">
        <v>29</v>
      </c>
    </row>
    <row r="25" spans="1:9">
      <c r="A25" s="8" t="s">
        <v>41</v>
      </c>
      <c r="B25" s="21">
        <v>105</v>
      </c>
      <c r="C25" s="9">
        <v>0.3211009174311927</v>
      </c>
      <c r="D25" s="9">
        <v>0.5382304311005364</v>
      </c>
      <c r="E25" s="8" t="s">
        <v>33</v>
      </c>
      <c r="F25" s="8" t="s">
        <v>29</v>
      </c>
    </row>
    <row r="27" spans="1:9">
      <c r="A27" s="6" t="s">
        <v>42</v>
      </c>
      <c r="B27" s="15">
        <f>B25/B17</f>
        <v>0.01978518937252685</v>
      </c>
      <c r="C27" s="9">
        <v>0.01978518937252685</v>
      </c>
      <c r="D27" s="9">
        <v>0.01842634177703146</v>
      </c>
      <c r="E27" s="8" t="s">
        <v>43</v>
      </c>
      <c r="F27" s="8" t="s">
        <v>44</v>
      </c>
    </row>
    <row r="29" spans="1:9">
      <c r="A29" s="10" t="s">
        <v>45</v>
      </c>
      <c r="B29" s="10"/>
      <c r="C29" s="10"/>
      <c r="D29" s="10"/>
      <c r="E29" s="10"/>
      <c r="F29" s="10"/>
      <c r="G29" s="10"/>
      <c r="H29" s="10"/>
      <c r="I29" s="10"/>
    </row>
    <row r="30" spans="1:9">
      <c r="A30" s="10"/>
      <c r="B30" s="10"/>
      <c r="C30" s="10"/>
      <c r="D30" s="10"/>
      <c r="E30" s="10"/>
      <c r="F30" s="10"/>
      <c r="G30" s="10"/>
      <c r="H30" s="10"/>
      <c r="I30" s="10"/>
    </row>
    <row r="31" spans="1:9">
      <c r="A31" s="10"/>
      <c r="B31" s="10"/>
      <c r="C31" s="10"/>
      <c r="D31" s="10"/>
      <c r="E31" s="10"/>
      <c r="F31" s="10"/>
      <c r="G31" s="10"/>
      <c r="H31" s="10"/>
      <c r="I31" s="10"/>
    </row>
    <row r="34" spans="1:9">
      <c r="A34" s="4" t="s">
        <v>46</v>
      </c>
      <c r="B34" s="4"/>
      <c r="C34" s="4"/>
      <c r="D34" s="4"/>
      <c r="E34" s="4"/>
      <c r="F34" s="4"/>
      <c r="G34" s="4"/>
      <c r="H34" s="4"/>
      <c r="I34" s="4"/>
    </row>
    <row r="35" spans="1:9">
      <c r="A35" s="5" t="s">
        <v>1</v>
      </c>
      <c r="B35" s="5" t="s">
        <v>4</v>
      </c>
      <c r="C35" s="5" t="s">
        <v>32</v>
      </c>
      <c r="D35" s="5" t="s">
        <v>34</v>
      </c>
      <c r="E35" s="5" t="s">
        <v>35</v>
      </c>
      <c r="F35" s="5" t="s">
        <v>37</v>
      </c>
      <c r="G35" s="5" t="s">
        <v>47</v>
      </c>
      <c r="H35" s="5" t="s">
        <v>48</v>
      </c>
      <c r="I35" s="5" t="s">
        <v>41</v>
      </c>
    </row>
    <row r="36" spans="1:9">
      <c r="A36" s="8" t="s">
        <v>9</v>
      </c>
      <c r="B36" s="21">
        <v>6645</v>
      </c>
      <c r="C36" s="21">
        <v>5692</v>
      </c>
      <c r="D36" s="21">
        <v>776</v>
      </c>
      <c r="E36" s="21">
        <v>998</v>
      </c>
      <c r="F36" s="21">
        <v>222</v>
      </c>
      <c r="G36" s="21">
        <v>260</v>
      </c>
      <c r="H36" s="21">
        <v>178</v>
      </c>
      <c r="I36" s="21">
        <v>107</v>
      </c>
    </row>
    <row r="37" spans="1:9">
      <c r="A37" s="8" t="s">
        <v>11</v>
      </c>
      <c r="B37" s="21">
        <v>5415</v>
      </c>
      <c r="C37" s="21">
        <v>4989</v>
      </c>
      <c r="D37" s="21">
        <v>945</v>
      </c>
      <c r="E37" s="21">
        <v>591</v>
      </c>
      <c r="F37" s="21">
        <v>244</v>
      </c>
      <c r="G37" s="21">
        <v>239</v>
      </c>
      <c r="H37" s="21">
        <v>187</v>
      </c>
      <c r="I37" s="21">
        <v>110</v>
      </c>
    </row>
    <row r="38" spans="1:9">
      <c r="A38" s="8" t="s">
        <v>12</v>
      </c>
      <c r="B38" s="21">
        <v>6445</v>
      </c>
      <c r="C38" s="21">
        <v>6030</v>
      </c>
      <c r="D38" s="21">
        <v>946</v>
      </c>
      <c r="E38" s="21">
        <v>554</v>
      </c>
      <c r="F38" s="21">
        <v>215</v>
      </c>
      <c r="G38" s="21">
        <v>207</v>
      </c>
      <c r="H38" s="21">
        <v>148</v>
      </c>
      <c r="I38" s="21">
        <v>110</v>
      </c>
    </row>
    <row r="39" spans="1:9">
      <c r="A39" s="8" t="s">
        <v>13</v>
      </c>
      <c r="B39" s="21">
        <v>7340</v>
      </c>
      <c r="C39" s="21">
        <v>6590</v>
      </c>
      <c r="D39" s="21">
        <v>920</v>
      </c>
      <c r="E39" s="21">
        <v>620</v>
      </c>
      <c r="F39" s="21">
        <v>212</v>
      </c>
      <c r="G39" s="21">
        <v>198</v>
      </c>
      <c r="H39" s="21">
        <v>137</v>
      </c>
      <c r="I39" s="21">
        <v>68</v>
      </c>
    </row>
    <row r="40" spans="1:9">
      <c r="A40" s="8" t="s">
        <v>14</v>
      </c>
      <c r="B40" s="21">
        <v>6323</v>
      </c>
      <c r="C40" s="21">
        <v>5938</v>
      </c>
      <c r="D40" s="21">
        <v>970</v>
      </c>
      <c r="E40" s="21">
        <v>582</v>
      </c>
      <c r="F40" s="21">
        <v>251</v>
      </c>
      <c r="G40" s="21">
        <v>239</v>
      </c>
      <c r="H40" s="21">
        <v>181</v>
      </c>
      <c r="I40" s="21">
        <v>105</v>
      </c>
    </row>
    <row r="41" spans="1:9">
      <c r="A41" s="8" t="s">
        <v>15</v>
      </c>
      <c r="B41" s="21">
        <v>4878</v>
      </c>
      <c r="C41" s="21">
        <v>3994</v>
      </c>
      <c r="D41" s="21">
        <v>919</v>
      </c>
      <c r="E41" s="21">
        <v>309</v>
      </c>
      <c r="F41" s="21">
        <v>222</v>
      </c>
      <c r="G41" s="21">
        <v>552</v>
      </c>
      <c r="H41" s="21">
        <v>325</v>
      </c>
      <c r="I41" s="21">
        <v>107</v>
      </c>
    </row>
    <row r="42" spans="1:9">
      <c r="A42" s="8" t="s">
        <v>16</v>
      </c>
      <c r="B42" s="21">
        <v>5307</v>
      </c>
      <c r="C42" s="21">
        <v>4223</v>
      </c>
      <c r="D42" s="21">
        <v>187</v>
      </c>
      <c r="E42" s="21">
        <v>306</v>
      </c>
      <c r="F42" s="21">
        <v>223</v>
      </c>
      <c r="G42" s="21">
        <v>495</v>
      </c>
      <c r="H42" s="21">
        <v>327</v>
      </c>
      <c r="I42" s="21">
        <v>105</v>
      </c>
    </row>
    <row r="43" spans="1:9">
      <c r="A43" s="8" t="s">
        <v>17</v>
      </c>
      <c r="B43" s="21">
        <v>2809</v>
      </c>
      <c r="C43" s="21">
        <v>2628</v>
      </c>
      <c r="D43" s="21">
        <v>583</v>
      </c>
      <c r="E43" s="21">
        <v>197</v>
      </c>
      <c r="F43" s="21">
        <v>167</v>
      </c>
      <c r="G43" s="21">
        <v>367</v>
      </c>
      <c r="H43" s="21">
        <v>249</v>
      </c>
      <c r="I43" s="21">
        <v>80</v>
      </c>
    </row>
    <row r="46" spans="1:9">
      <c r="A46" s="4" t="s">
        <v>49</v>
      </c>
      <c r="B46" s="4"/>
      <c r="C46" s="4"/>
      <c r="D46" s="4"/>
      <c r="E46" s="4"/>
      <c r="F46" s="4"/>
      <c r="G46" s="4"/>
      <c r="H46" s="4"/>
      <c r="I46" s="4"/>
    </row>
    <row r="47" spans="1:9">
      <c r="A47" s="5" t="s">
        <v>1</v>
      </c>
      <c r="B47" s="5" t="s">
        <v>50</v>
      </c>
      <c r="C47" s="5" t="s">
        <v>51</v>
      </c>
      <c r="D47" s="5" t="s">
        <v>52</v>
      </c>
      <c r="E47" s="5" t="s">
        <v>53</v>
      </c>
      <c r="F47" s="5" t="s">
        <v>54</v>
      </c>
      <c r="G47" s="5" t="s">
        <v>55</v>
      </c>
      <c r="H47" s="5" t="s">
        <v>56</v>
      </c>
      <c r="I47" s="5" t="s">
        <v>42</v>
      </c>
    </row>
    <row r="48" spans="1:9">
      <c r="A48" s="8" t="s">
        <v>9</v>
      </c>
      <c r="B48" s="15">
        <f>MIN(1,C36/B36)</f>
        <v>0.8565838976674192</v>
      </c>
      <c r="C48" s="15">
        <f>MIN(1,D36/C36)</f>
        <v>0.13633169360505973</v>
      </c>
      <c r="D48" s="15">
        <f>MIN(1,E36/D36)</f>
        <v>1</v>
      </c>
      <c r="E48" s="15">
        <f>MIN(1,F36/E36)</f>
        <v>0.22244488977955912</v>
      </c>
      <c r="F48" s="15">
        <f>MIN(1,G36/F36)</f>
        <v>1</v>
      </c>
      <c r="G48" s="15">
        <f>MIN(1,H36/G36)</f>
        <v>0.6846153846153846</v>
      </c>
      <c r="H48" s="15">
        <f>MIN(1,I36/H36)</f>
        <v>0.601123595505618</v>
      </c>
      <c r="I48" s="15">
        <f>MIN(1,I36/B36)</f>
        <v>0.016102332580887887</v>
      </c>
    </row>
    <row r="49" spans="1:9">
      <c r="A49" s="8" t="s">
        <v>11</v>
      </c>
      <c r="B49" s="15">
        <f>MIN(1,C37/B37)</f>
        <v>0.9213296398891967</v>
      </c>
      <c r="C49" s="15">
        <f>MIN(1,D37/C37)</f>
        <v>0.1894167167769092</v>
      </c>
      <c r="D49" s="15">
        <f>MIN(1,E37/D37)</f>
        <v>0.6253968253968254</v>
      </c>
      <c r="E49" s="15">
        <f>MIN(1,F37/E37)</f>
        <v>0.4128595600676819</v>
      </c>
      <c r="F49" s="15">
        <f>MIN(1,G37/F37)</f>
        <v>0.9795081967213115</v>
      </c>
      <c r="G49" s="15">
        <f>MIN(1,H37/G37)</f>
        <v>0.7824267782426778</v>
      </c>
      <c r="H49" s="15">
        <f>MIN(1,I37/H37)</f>
        <v>0.5882352941176471</v>
      </c>
      <c r="I49" s="15">
        <f>MIN(1,I37/B37)</f>
        <v>0.020313942751615882</v>
      </c>
    </row>
    <row r="50" spans="1:9">
      <c r="A50" s="8" t="s">
        <v>12</v>
      </c>
      <c r="B50" s="15">
        <f>MIN(1,C38/B38)</f>
        <v>0.9356089992242048</v>
      </c>
      <c r="C50" s="15">
        <f>MIN(1,D38/C38)</f>
        <v>0.1568822553897181</v>
      </c>
      <c r="D50" s="15">
        <f>MIN(1,E38/D38)</f>
        <v>0.5856236786469344</v>
      </c>
      <c r="E50" s="15">
        <f>MIN(1,F38/E38)</f>
        <v>0.388086642599278</v>
      </c>
      <c r="F50" s="15">
        <f>MIN(1,G38/F38)</f>
        <v>0.9627906976744186</v>
      </c>
      <c r="G50" s="15">
        <f>MIN(1,H38/G38)</f>
        <v>0.714975845410628</v>
      </c>
      <c r="H50" s="15">
        <f>MIN(1,I38/H38)</f>
        <v>0.7432432432432432</v>
      </c>
      <c r="I50" s="15">
        <f>MIN(1,I38/B38)</f>
        <v>0.017067494181536073</v>
      </c>
    </row>
    <row r="51" spans="1:9">
      <c r="A51" s="8" t="s">
        <v>13</v>
      </c>
      <c r="B51" s="15">
        <f>MIN(1,C39/B39)</f>
        <v>0.8978201634877384</v>
      </c>
      <c r="C51" s="15">
        <f>MIN(1,D39/C39)</f>
        <v>0.13960546282245828</v>
      </c>
      <c r="D51" s="15">
        <f>MIN(1,E39/D39)</f>
        <v>0.6739130434782609</v>
      </c>
      <c r="E51" s="15">
        <f>MIN(1,F39/E39)</f>
        <v>0.3419354838709677</v>
      </c>
      <c r="F51" s="15">
        <f>MIN(1,G39/F39)</f>
        <v>0.9339622641509434</v>
      </c>
      <c r="G51" s="15">
        <f>MIN(1,H39/G39)</f>
        <v>0.6919191919191919</v>
      </c>
      <c r="H51" s="15">
        <f>MIN(1,I39/H39)</f>
        <v>0.49635036496350365</v>
      </c>
      <c r="I51" s="15">
        <f>MIN(1,I39/B39)</f>
        <v>0.009264305177111716</v>
      </c>
    </row>
    <row r="52" spans="1:9">
      <c r="A52" s="8" t="s">
        <v>14</v>
      </c>
      <c r="B52" s="15">
        <f>MIN(1,C40/B40)</f>
        <v>0.9391111814012336</v>
      </c>
      <c r="C52" s="15">
        <f>MIN(1,D40/C40)</f>
        <v>0.1633546648703267</v>
      </c>
      <c r="D52" s="15">
        <f>MIN(1,E40/D40)</f>
        <v>0.6</v>
      </c>
      <c r="E52" s="15">
        <f>MIN(1,F40/E40)</f>
        <v>0.43127147766323026</v>
      </c>
      <c r="F52" s="15">
        <f>MIN(1,G40/F40)</f>
        <v>0.952191235059761</v>
      </c>
      <c r="G52" s="15">
        <f>MIN(1,H40/G40)</f>
        <v>0.7573221757322176</v>
      </c>
      <c r="H52" s="15">
        <f>MIN(1,I40/H40)</f>
        <v>0.580110497237569</v>
      </c>
      <c r="I52" s="15">
        <f>MIN(1,I40/B40)</f>
        <v>0.016606041436027202</v>
      </c>
    </row>
    <row r="53" spans="1:9">
      <c r="A53" s="8" t="s">
        <v>15</v>
      </c>
      <c r="B53" s="15">
        <f>MIN(1,C41/B41)</f>
        <v>0.8187781877818778</v>
      </c>
      <c r="C53" s="15">
        <f>MIN(1,D41/C41)</f>
        <v>0.2300951427140711</v>
      </c>
      <c r="D53" s="15">
        <f>MIN(1,E41/D41)</f>
        <v>0.33623503808487487</v>
      </c>
      <c r="E53" s="15">
        <f>MIN(1,F41/E41)</f>
        <v>0.7184466019417476</v>
      </c>
      <c r="F53" s="15">
        <f>MIN(1,G41/F41)</f>
        <v>1</v>
      </c>
      <c r="G53" s="15">
        <f>MIN(1,H41/G41)</f>
        <v>0.5887681159420289</v>
      </c>
      <c r="H53" s="15">
        <f>MIN(1,I41/H41)</f>
        <v>0.3292307692307692</v>
      </c>
      <c r="I53" s="15">
        <f>MIN(1,I41/B41)</f>
        <v>0.021935219352193523</v>
      </c>
    </row>
    <row r="54" spans="1:9">
      <c r="A54" s="8" t="s">
        <v>16</v>
      </c>
      <c r="B54" s="15">
        <f>MIN(1,C42/B42)</f>
        <v>0.7957414735255323</v>
      </c>
      <c r="C54" s="15">
        <f>MIN(1,D42/C42)</f>
        <v>0.04428131659957376</v>
      </c>
      <c r="D54" s="15">
        <f>MIN(1,E42/D42)</f>
        <v>1</v>
      </c>
      <c r="E54" s="15">
        <f>MIN(1,F42/E42)</f>
        <v>0.7287581699346405</v>
      </c>
      <c r="F54" s="15">
        <f>MIN(1,G42/F42)</f>
        <v>1</v>
      </c>
      <c r="G54" s="15">
        <f>MIN(1,H42/G42)</f>
        <v>0.6606060606060606</v>
      </c>
      <c r="H54" s="15">
        <f>MIN(1,I42/H42)</f>
        <v>0.3211009174311927</v>
      </c>
      <c r="I54" s="15">
        <f>MIN(1,I42/B42)</f>
        <v>0.01978518937252685</v>
      </c>
    </row>
    <row r="55" spans="1:9">
      <c r="A55" s="8" t="s">
        <v>17</v>
      </c>
      <c r="B55" s="15">
        <f>MIN(1,C43/B43)</f>
        <v>0.935564257742969</v>
      </c>
      <c r="C55" s="15">
        <f>MIN(1,D43/C43)</f>
        <v>0.22184170471841705</v>
      </c>
      <c r="D55" s="15">
        <f>MIN(1,E43/D43)</f>
        <v>0.3379073756432247</v>
      </c>
      <c r="E55" s="15">
        <f>MIN(1,F43/E43)</f>
        <v>0.8477157360406091</v>
      </c>
      <c r="F55" s="15">
        <f>MIN(1,G43/F43)</f>
        <v>1</v>
      </c>
      <c r="G55" s="15">
        <f>MIN(1,H43/G43)</f>
        <v>0.6784741144414169</v>
      </c>
      <c r="H55" s="15">
        <f>MIN(1,I43/H43)</f>
        <v>0.321285140562249</v>
      </c>
      <c r="I55" s="15">
        <f>MIN(1,I43/B43)</f>
        <v>0.02847988608045568</v>
      </c>
    </row>
    <row r="56" spans="1:9">
      <c r="A56" s="6" t="s">
        <v>57</v>
      </c>
      <c r="B56" s="15">
        <f>MEDIAN(B48:B55)</f>
        <v>0.9095749016884676</v>
      </c>
      <c r="C56" s="15">
        <f>MEDIAN(C48:C55)</f>
        <v>0.1601184601300224</v>
      </c>
      <c r="D56" s="15">
        <f>MEDIAN(D48:D55)</f>
        <v>0.6126984126984127</v>
      </c>
      <c r="E56" s="15">
        <f>MEDIAN(E48:E55)</f>
        <v>0.42206551886545607</v>
      </c>
      <c r="F56" s="15">
        <f>MEDIAN(F48:F55)</f>
        <v>0.9897540983606558</v>
      </c>
      <c r="G56" s="15">
        <f>MEDIAN(G48:G55)</f>
        <v>0.6882672882672882</v>
      </c>
      <c r="H56" s="15">
        <f>MEDIAN(H48:H55)</f>
        <v>0.5382304311005364</v>
      </c>
      <c r="I56" s="15">
        <f>MEDIAN(I48:I55)</f>
        <v>0.018426341777031462</v>
      </c>
    </row>
    <row r="58" spans="1:9">
      <c r="A58" s="10" t="s">
        <v>58</v>
      </c>
      <c r="B58" s="10"/>
      <c r="C58" s="10"/>
      <c r="D58" s="10"/>
      <c r="E58" s="10"/>
      <c r="F58" s="10"/>
      <c r="G58" s="10"/>
      <c r="H58" s="10"/>
      <c r="I58" s="10"/>
    </row>
    <row r="59" spans="1:9">
      <c r="A59" s="10"/>
      <c r="B59" s="10"/>
      <c r="C59" s="10"/>
      <c r="D59" s="10"/>
      <c r="E59" s="10"/>
      <c r="F59" s="10"/>
      <c r="G59" s="10"/>
      <c r="H59" s="10"/>
      <c r="I59" s="10"/>
    </row>
    <row r="60" spans="1:9">
      <c r="A60" s="10"/>
      <c r="B60" s="10"/>
      <c r="C60" s="10"/>
      <c r="D60" s="10"/>
      <c r="E60" s="10"/>
      <c r="F60" s="10"/>
      <c r="G60" s="10"/>
      <c r="H60" s="10"/>
      <c r="I60" s="10"/>
    </row>
  </sheetData>
  <mergeCells count="6">
    <mergeCell ref="A1:I1"/>
    <mergeCell ref="A15:F15"/>
    <mergeCell ref="A29:I31"/>
    <mergeCell ref="A34:I34"/>
    <mergeCell ref="A46:I46"/>
    <mergeCell ref="A58:I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 Executivo</vt:lpstr>
      <vt:lpstr>Breakeven 7M</vt:lpstr>
      <vt:lpstr>Pessimista</vt:lpstr>
      <vt:lpstr>Realista</vt:lpstr>
      <vt:lpstr>Otimista</vt:lpstr>
      <vt:lpstr>Funil Completo</vt:lpstr>
      <vt:lpstr>Premissas</vt:lpstr>
      <vt:lpstr>Dados Fonte</vt:lpstr>
    </vt:vector>
  </TitlesOfParts>
  <Company>V4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Projeção Breakeven E-commerce — Dalpack</dc:title>
  <dc:subject>Breakeven, cenário mínimo e funil completo</dc:subject>
  <dc:creator>Colli &amp; Co</dc:creator>
  <dc:description>Modelo com fórmulas, premissas editáveis e bench pela mediana dos oito meses de LT.</dc:description>
  <cp:lastModifiedBy>Colli &amp; Co</cp:lastModifiedBy>
  <dcterms:created xsi:type="dcterms:W3CDTF">2026-06-20T19:22:06Z</dcterms:created>
  <dcterms:modified xsi:type="dcterms:W3CDTF">2026-06-20T19:22:06Z</dcterms:modified>
</cp:coreProperties>
</file>